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4000" windowHeight="14115"/>
  </bookViews>
  <sheets>
    <sheet name="Июнь выпуск Доп" sheetId="2" r:id="rId1"/>
    <sheet name="Лист2" sheetId="6" r:id="rId2"/>
    <sheet name="График до 20_12" sheetId="5" r:id="rId3"/>
    <sheet name="Лист1" sheetId="3" r:id="rId4"/>
    <sheet name="Лист3" sheetId="4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A24" i="2" l="1"/>
  <c r="U24" i="2"/>
  <c r="O24" i="2"/>
  <c r="I24" i="2"/>
  <c r="C24" i="2"/>
  <c r="B24" i="2"/>
  <c r="AG23" i="2"/>
  <c r="AG24" i="2" s="1"/>
  <c r="AA21" i="2"/>
  <c r="U21" i="2"/>
  <c r="O21" i="2"/>
  <c r="I21" i="2"/>
  <c r="B21" i="2"/>
  <c r="AG20" i="2"/>
  <c r="AG21" i="2" s="1"/>
  <c r="C17" i="2"/>
  <c r="C21" i="2" s="1"/>
  <c r="AA15" i="2"/>
  <c r="U15" i="2"/>
  <c r="I15" i="2"/>
  <c r="B15" i="2"/>
  <c r="AG12" i="2"/>
  <c r="AA12" i="2"/>
  <c r="U12" i="2"/>
  <c r="O12" i="2"/>
  <c r="I12" i="2"/>
  <c r="G12" i="2"/>
  <c r="E12" i="2"/>
  <c r="B12" i="2"/>
  <c r="C11" i="2"/>
  <c r="C10" i="2"/>
  <c r="C12" i="2" s="1"/>
  <c r="AG9" i="2"/>
  <c r="AG16" i="2" s="1"/>
  <c r="AA9" i="2"/>
  <c r="U9" i="2"/>
  <c r="O9" i="2"/>
  <c r="I9" i="2"/>
  <c r="G9" i="2"/>
  <c r="E9" i="2"/>
  <c r="C9" i="2"/>
  <c r="B9" i="2"/>
  <c r="I16" i="2" l="1"/>
  <c r="B16" i="2"/>
  <c r="AA16" i="2"/>
  <c r="O16" i="2"/>
  <c r="U16" i="2"/>
  <c r="C16" i="2"/>
  <c r="O19" i="5"/>
  <c r="N19" i="5"/>
  <c r="M19" i="5"/>
  <c r="L19" i="5"/>
  <c r="K19" i="5"/>
  <c r="J19" i="5"/>
  <c r="I19" i="5"/>
  <c r="H19" i="5"/>
  <c r="G19" i="5"/>
  <c r="P19" i="5" s="1"/>
  <c r="C19" i="5"/>
  <c r="B19" i="5"/>
  <c r="G18" i="5"/>
  <c r="P18" i="5" s="1"/>
  <c r="O17" i="5"/>
  <c r="N17" i="5"/>
  <c r="M17" i="5"/>
  <c r="L17" i="5"/>
  <c r="K17" i="5"/>
  <c r="J17" i="5"/>
  <c r="I17" i="5"/>
  <c r="H17" i="5"/>
  <c r="C17" i="5"/>
  <c r="B17" i="5"/>
  <c r="G16" i="5"/>
  <c r="P16" i="5" s="1"/>
  <c r="G15" i="5"/>
  <c r="P15" i="5" s="1"/>
  <c r="G14" i="5"/>
  <c r="P14" i="5" s="1"/>
  <c r="N13" i="5"/>
  <c r="M13" i="5"/>
  <c r="K13" i="5"/>
  <c r="J13" i="5"/>
  <c r="H13" i="5"/>
  <c r="C13" i="5"/>
  <c r="B13" i="5"/>
  <c r="G12" i="5"/>
  <c r="P12" i="5" s="1"/>
  <c r="G11" i="5"/>
  <c r="P11" i="5" s="1"/>
  <c r="G9" i="5"/>
  <c r="P9" i="5" s="1"/>
  <c r="L8" i="5"/>
  <c r="G7" i="5"/>
  <c r="P7" i="5" s="1"/>
  <c r="G6" i="5"/>
  <c r="P6" i="5" s="1"/>
  <c r="O5" i="5"/>
  <c r="O13" i="5" s="1"/>
  <c r="L5" i="5"/>
  <c r="I5" i="5"/>
  <c r="I13" i="5" s="1"/>
  <c r="G5" i="5"/>
  <c r="G17" i="5" l="1"/>
  <c r="P17" i="5" s="1"/>
  <c r="G13" i="5"/>
  <c r="P5" i="5"/>
  <c r="L13" i="5"/>
  <c r="P13" i="5" l="1"/>
  <c r="W30" i="4"/>
  <c r="W39" i="4" s="1"/>
  <c r="X30" i="4"/>
  <c r="X39" i="4" s="1"/>
  <c r="Y30" i="4"/>
  <c r="Y39" i="4" s="1"/>
  <c r="V30" i="4"/>
  <c r="V39" i="4" s="1"/>
  <c r="X27" i="4"/>
  <c r="W27" i="4"/>
  <c r="AA27" i="4" s="1"/>
  <c r="V27" i="4"/>
  <c r="W18" i="4"/>
  <c r="W19" i="4"/>
  <c r="W20" i="4"/>
  <c r="V19" i="4"/>
  <c r="V20" i="4"/>
  <c r="V21" i="4"/>
  <c r="V11" i="4"/>
  <c r="V24" i="4" s="1"/>
  <c r="W11" i="4"/>
  <c r="W21" i="4" s="1"/>
  <c r="X11" i="4"/>
  <c r="X18" i="4" s="1"/>
  <c r="U11" i="4"/>
  <c r="O83" i="4"/>
  <c r="M83" i="4"/>
  <c r="L83" i="4"/>
  <c r="K83" i="4"/>
  <c r="J83" i="4"/>
  <c r="I83" i="4"/>
  <c r="H83" i="4"/>
  <c r="C83" i="4"/>
  <c r="N81" i="4"/>
  <c r="G81" i="4"/>
  <c r="G83" i="4" s="1"/>
  <c r="O78" i="4"/>
  <c r="H78" i="4"/>
  <c r="C78" i="4"/>
  <c r="G77" i="4"/>
  <c r="P77" i="4" s="1"/>
  <c r="R76" i="4"/>
  <c r="L76" i="4"/>
  <c r="K76" i="4"/>
  <c r="J76" i="4"/>
  <c r="I76" i="4"/>
  <c r="R75" i="4"/>
  <c r="L75" i="4"/>
  <c r="K75" i="4"/>
  <c r="J75" i="4"/>
  <c r="I75" i="4"/>
  <c r="R74" i="4"/>
  <c r="R73" i="4"/>
  <c r="L73" i="4"/>
  <c r="L74" i="4" s="1"/>
  <c r="K73" i="4"/>
  <c r="J73" i="4"/>
  <c r="I73" i="4"/>
  <c r="G72" i="4"/>
  <c r="P72" i="4" s="1"/>
  <c r="N65" i="4"/>
  <c r="N66" i="4" s="1"/>
  <c r="Y32" i="4" s="1"/>
  <c r="M65" i="4"/>
  <c r="M66" i="4" s="1"/>
  <c r="X32" i="4" s="1"/>
  <c r="L65" i="4"/>
  <c r="L66" i="4" s="1"/>
  <c r="L67" i="4" s="1"/>
  <c r="K65" i="4"/>
  <c r="K66" i="4" s="1"/>
  <c r="G64" i="4"/>
  <c r="P64" i="4" s="1"/>
  <c r="L63" i="4"/>
  <c r="X15" i="4" s="1"/>
  <c r="K63" i="4"/>
  <c r="J63" i="4"/>
  <c r="I63" i="4"/>
  <c r="L62" i="4"/>
  <c r="K62" i="4"/>
  <c r="J62" i="4"/>
  <c r="I62" i="4"/>
  <c r="L60" i="4"/>
  <c r="L61" i="4" s="1"/>
  <c r="K60" i="4"/>
  <c r="K61" i="4" s="1"/>
  <c r="J60" i="4"/>
  <c r="J61" i="4" s="1"/>
  <c r="I60" i="4"/>
  <c r="I61" i="4" s="1"/>
  <c r="O59" i="4"/>
  <c r="N59" i="4"/>
  <c r="L59" i="4"/>
  <c r="K59" i="4"/>
  <c r="J59" i="4"/>
  <c r="I59" i="4"/>
  <c r="H59" i="4"/>
  <c r="C59" i="4"/>
  <c r="G58" i="4"/>
  <c r="P58" i="4" s="1"/>
  <c r="M57" i="4"/>
  <c r="M59" i="4" s="1"/>
  <c r="G57" i="4"/>
  <c r="P57" i="4" s="1"/>
  <c r="G55" i="4"/>
  <c r="P55" i="4" s="1"/>
  <c r="K53" i="4"/>
  <c r="J53" i="4"/>
  <c r="K52" i="4"/>
  <c r="J52" i="4"/>
  <c r="G51" i="4"/>
  <c r="P51" i="4" s="1"/>
  <c r="I50" i="4"/>
  <c r="I49" i="4"/>
  <c r="G48" i="4"/>
  <c r="P48" i="4" s="1"/>
  <c r="N47" i="4"/>
  <c r="M47" i="4"/>
  <c r="Y9" i="4" s="1"/>
  <c r="L47" i="4"/>
  <c r="K47" i="4"/>
  <c r="J47" i="4"/>
  <c r="N46" i="4"/>
  <c r="M46" i="4"/>
  <c r="L46" i="4"/>
  <c r="K46" i="4"/>
  <c r="J46" i="4"/>
  <c r="G45" i="4"/>
  <c r="P45" i="4" s="1"/>
  <c r="N44" i="4"/>
  <c r="M44" i="4"/>
  <c r="L44" i="4"/>
  <c r="K44" i="4"/>
  <c r="J44" i="4"/>
  <c r="N43" i="4"/>
  <c r="M43" i="4"/>
  <c r="L43" i="4"/>
  <c r="K43" i="4"/>
  <c r="J43" i="4"/>
  <c r="R15" i="4"/>
  <c r="R14" i="4"/>
  <c r="R13" i="4"/>
  <c r="R12" i="4"/>
  <c r="V15" i="4" l="1"/>
  <c r="U18" i="4"/>
  <c r="V17" i="4"/>
  <c r="V23" i="4"/>
  <c r="V22" i="4"/>
  <c r="X25" i="4"/>
  <c r="U24" i="4"/>
  <c r="Z9" i="4"/>
  <c r="U23" i="4"/>
  <c r="V18" i="4"/>
  <c r="X24" i="4"/>
  <c r="U15" i="4"/>
  <c r="W17" i="4"/>
  <c r="X23" i="4"/>
  <c r="U14" i="4"/>
  <c r="U21" i="4"/>
  <c r="X17" i="4"/>
  <c r="X22" i="4"/>
  <c r="U19" i="4"/>
  <c r="U25" i="4"/>
  <c r="U22" i="4"/>
  <c r="U13" i="4"/>
  <c r="U20" i="4"/>
  <c r="W25" i="4"/>
  <c r="X21" i="4"/>
  <c r="U12" i="4"/>
  <c r="W24" i="4"/>
  <c r="X20" i="4"/>
  <c r="V13" i="4"/>
  <c r="V25" i="4"/>
  <c r="W23" i="4"/>
  <c r="X19" i="4"/>
  <c r="V14" i="4"/>
  <c r="W22" i="4"/>
  <c r="AA39" i="4"/>
  <c r="U17" i="4"/>
  <c r="V9" i="4"/>
  <c r="W9" i="4"/>
  <c r="X9" i="4"/>
  <c r="V31" i="4"/>
  <c r="P81" i="4"/>
  <c r="W31" i="4"/>
  <c r="X31" i="4"/>
  <c r="X14" i="4"/>
  <c r="X12" i="4"/>
  <c r="W15" i="4"/>
  <c r="Y31" i="4"/>
  <c r="Z8" i="4"/>
  <c r="W14" i="4"/>
  <c r="K67" i="4"/>
  <c r="V33" i="4" s="1"/>
  <c r="V32" i="4"/>
  <c r="P78" i="4"/>
  <c r="V8" i="4"/>
  <c r="X8" i="4"/>
  <c r="N83" i="4"/>
  <c r="P83" i="4" s="1"/>
  <c r="G78" i="4"/>
  <c r="W8" i="4"/>
  <c r="Y8" i="4"/>
  <c r="X13" i="4"/>
  <c r="P59" i="4"/>
  <c r="W33" i="4"/>
  <c r="L68" i="4"/>
  <c r="G59" i="4"/>
  <c r="M67" i="4"/>
  <c r="W32" i="4"/>
  <c r="N67" i="4"/>
  <c r="I74" i="4"/>
  <c r="J74" i="4"/>
  <c r="K74" i="4"/>
  <c r="W13" i="4" s="1"/>
  <c r="AA12" i="4" l="1"/>
  <c r="AA15" i="4"/>
  <c r="AA21" i="4"/>
  <c r="AA19" i="4"/>
  <c r="AA20" i="4"/>
  <c r="AA17" i="4"/>
  <c r="AA18" i="4"/>
  <c r="AA9" i="4"/>
  <c r="AA32" i="4"/>
  <c r="AA14" i="4"/>
  <c r="I78" i="4"/>
  <c r="K68" i="4"/>
  <c r="K70" i="4" s="1"/>
  <c r="AA8" i="4"/>
  <c r="AA31" i="4"/>
  <c r="J78" i="4"/>
  <c r="AA13" i="4"/>
  <c r="M68" i="4"/>
  <c r="X33" i="4"/>
  <c r="Y33" i="4"/>
  <c r="N68" i="4"/>
  <c r="L69" i="4"/>
  <c r="W35" i="4" s="1"/>
  <c r="W34" i="4"/>
  <c r="L70" i="4"/>
  <c r="K69" i="4" l="1"/>
  <c r="V35" i="4" s="1"/>
  <c r="V34" i="4"/>
  <c r="L71" i="4"/>
  <c r="W37" i="4" s="1"/>
  <c r="W36" i="4"/>
  <c r="N70" i="4"/>
  <c r="Y34" i="4"/>
  <c r="N69" i="4"/>
  <c r="K71" i="4"/>
  <c r="V36" i="4"/>
  <c r="AA33" i="4"/>
  <c r="M70" i="4"/>
  <c r="X34" i="4"/>
  <c r="AA34" i="4" s="1"/>
  <c r="M69" i="4"/>
  <c r="G4" i="3"/>
  <c r="E5" i="3"/>
  <c r="E6" i="3"/>
  <c r="E4" i="3"/>
  <c r="D9" i="3"/>
  <c r="D8" i="3"/>
  <c r="E8" i="3" s="1"/>
  <c r="F6" i="3"/>
  <c r="G6" i="3" s="1"/>
  <c r="F5" i="3"/>
  <c r="G5" i="3" s="1"/>
  <c r="F4" i="3"/>
  <c r="F8" i="3" l="1"/>
  <c r="G8" i="3" s="1"/>
  <c r="F9" i="3"/>
  <c r="G9" i="3" s="1"/>
  <c r="E9" i="3"/>
  <c r="AA22" i="4"/>
  <c r="L78" i="4"/>
  <c r="M71" i="4"/>
  <c r="X37" i="4" s="1"/>
  <c r="X36" i="4"/>
  <c r="Y35" i="4"/>
  <c r="V37" i="4"/>
  <c r="K78" i="4"/>
  <c r="N71" i="4"/>
  <c r="Y37" i="4" s="1"/>
  <c r="Y36" i="4"/>
  <c r="AA36" i="4" s="1"/>
  <c r="X35" i="4"/>
  <c r="AA35" i="4" s="1"/>
  <c r="M78" i="4"/>
  <c r="AA23" i="4" l="1"/>
  <c r="AA37" i="4"/>
  <c r="N78" i="4"/>
  <c r="AA25" i="4" l="1"/>
  <c r="AA24" i="4"/>
</calcChain>
</file>

<file path=xl/comments1.xml><?xml version="1.0" encoding="utf-8"?>
<comments xmlns="http://schemas.openxmlformats.org/spreadsheetml/2006/main">
  <authors>
    <author>Автор</author>
  </authors>
  <commentList>
    <comment ref="H7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
Видеоприемник</t>
        </r>
        <r>
          <rPr>
            <sz val="9"/>
            <color indexed="81"/>
            <rFont val="Tahoma"/>
            <family val="2"/>
            <charset val="204"/>
          </rPr>
          <t xml:space="preserve">
1062 склад
4200 таможня</t>
        </r>
      </text>
    </comment>
  </commentList>
</comments>
</file>

<file path=xl/comments2.xml><?xml version="1.0" encoding="utf-8"?>
<comments xmlns="http://schemas.openxmlformats.org/spreadsheetml/2006/main">
  <authors>
    <author>Автор</author>
  </authors>
  <commentList>
    <comment ref="H51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
Видеоприемник</t>
        </r>
        <r>
          <rPr>
            <sz val="9"/>
            <color indexed="81"/>
            <rFont val="Tahoma"/>
            <family val="2"/>
            <charset val="204"/>
          </rPr>
          <t xml:space="preserve">
1062 склад
4200 таможня</t>
        </r>
      </text>
    </comment>
  </commentList>
</comments>
</file>

<file path=xl/sharedStrings.xml><?xml version="1.0" encoding="utf-8"?>
<sst xmlns="http://schemas.openxmlformats.org/spreadsheetml/2006/main" count="267" uniqueCount="94">
  <si>
    <t>Контракты / изделия</t>
  </si>
  <si>
    <t>Количество по контрактам</t>
  </si>
  <si>
    <t>Отгружено в МО на начало дня 05.05.2026</t>
  </si>
  <si>
    <t>Остаток готовой продукции на складах на начало дня 05.05.2026</t>
  </si>
  <si>
    <t>Осталось произвести на начало дня 05.05.2026</t>
  </si>
  <si>
    <t>FPV-перехватчик "СОКОЛ" И (день)</t>
  </si>
  <si>
    <t>FPV-перехватчик "СОКОЛ" Т (ночь)</t>
  </si>
  <si>
    <t>FPV-перехватчик "Сокол" Р Ш</t>
  </si>
  <si>
    <t>FPV-перехватчик "Сокол" Р мини</t>
  </si>
  <si>
    <t>НСУ 2.0 Ш</t>
  </si>
  <si>
    <t>НСУ 2.1</t>
  </si>
  <si>
    <t>Катапульта</t>
  </si>
  <si>
    <t>FPV-перехватчик СОКОЛ ИС -Т (НОЧЬ)</t>
  </si>
  <si>
    <t>FPV-перехватчик СОКОЛ ИС (ДЕНЬ)</t>
  </si>
  <si>
    <t>ИТОГО:</t>
  </si>
  <si>
    <t>НСУ 1</t>
  </si>
  <si>
    <t xml:space="preserve">План выпуска </t>
  </si>
  <si>
    <t>Май</t>
  </si>
  <si>
    <t>Июнь</t>
  </si>
  <si>
    <t>Июль</t>
  </si>
  <si>
    <t>Август</t>
  </si>
  <si>
    <t>Сентябрь</t>
  </si>
  <si>
    <t>Октябрь</t>
  </si>
  <si>
    <t>Декабрь</t>
  </si>
  <si>
    <t>Остаток</t>
  </si>
  <si>
    <t>чел/дней 8ч рд</t>
  </si>
  <si>
    <t>Общее время мин</t>
  </si>
  <si>
    <t>Трудозатраты на производство</t>
  </si>
  <si>
    <t>Кол-во</t>
  </si>
  <si>
    <t>Время на единицу, мин</t>
  </si>
  <si>
    <t>85 чел</t>
  </si>
  <si>
    <t>Долг по старым
Договорам</t>
  </si>
  <si>
    <t>FPV-перехватчик "Сокол" Р (Z40)</t>
  </si>
  <si>
    <t>FPV-перехватчик "Сокол" Р мини Z8</t>
  </si>
  <si>
    <t>Ноябрь
20.11</t>
  </si>
  <si>
    <t xml:space="preserve">Начальник производства </t>
  </si>
  <si>
    <t>Догадин А.М.</t>
  </si>
  <si>
    <t>Заместитель начальника производства</t>
  </si>
  <si>
    <t>Кураев А.В.</t>
  </si>
  <si>
    <t>Барейко Н.А.</t>
  </si>
  <si>
    <t>Генеральный директор</t>
  </si>
  <si>
    <t>Заместитель ген. Директора по производству</t>
  </si>
  <si>
    <t>Буката П.В.</t>
  </si>
  <si>
    <t>Плата драйвера</t>
  </si>
  <si>
    <t>Пим Графит</t>
  </si>
  <si>
    <t>остаток на 14_05</t>
  </si>
  <si>
    <t>Плата ПУ</t>
  </si>
  <si>
    <t>Плата мачты</t>
  </si>
  <si>
    <t>Плата компаса</t>
  </si>
  <si>
    <t>Плата питания</t>
  </si>
  <si>
    <t>Модуль  коммутатор кейса</t>
  </si>
  <si>
    <t>Модуль  коммутатор ПМ</t>
  </si>
  <si>
    <t>Модуль питания</t>
  </si>
  <si>
    <t>Модуль управления ПМ</t>
  </si>
  <si>
    <t>Модуль управления ВП-01</t>
  </si>
  <si>
    <t>Модуль управления ВП-02</t>
  </si>
  <si>
    <t>Модуль пульта управления и плата с кнопками</t>
  </si>
  <si>
    <t>Ноябрь</t>
  </si>
  <si>
    <t>Итого</t>
  </si>
  <si>
    <t>2+2</t>
  </si>
  <si>
    <t>Кол-во плат на панеле</t>
  </si>
  <si>
    <t>Сокол И</t>
  </si>
  <si>
    <t>НСУ 1.0 / 2.0</t>
  </si>
  <si>
    <t>07.11. Корпус редуктора 100х100х150</t>
  </si>
  <si>
    <t xml:space="preserve">01. Корпус модуля управления </t>
  </si>
  <si>
    <t>00.01 Лицевая панель</t>
  </si>
  <si>
    <t>00.06 Крышка отсека АКБ</t>
  </si>
  <si>
    <t>02.01 Шасси АКБ АМГ2 S2</t>
  </si>
  <si>
    <t>01. Шасси крепления лицевой панели СБ</t>
  </si>
  <si>
    <t>01.01 Шасси лиц панели ч3 вер 1.2</t>
  </si>
  <si>
    <t>01.02 Шасси лиц панели ч2 вер 1.2</t>
  </si>
  <si>
    <t>01.03 Шасси лиц панели ч1 вер 1.2</t>
  </si>
  <si>
    <t>Июнь заказано</t>
  </si>
  <si>
    <t>Потребность</t>
  </si>
  <si>
    <t>Мачта телескопическая МТА 5</t>
  </si>
  <si>
    <t xml:space="preserve">Производство май план </t>
  </si>
  <si>
    <t>Потребности для заказ НПО до 20_11_2026</t>
  </si>
  <si>
    <t>График производства до 20.12.2026</t>
  </si>
  <si>
    <t>График производства  01.07.26 г. - 31.12.26 г.</t>
  </si>
  <si>
    <t>Кол-во по контрактам на 29.06.26 г.</t>
  </si>
  <si>
    <t>Наименования изделий</t>
  </si>
  <si>
    <t>Катапульта V 2</t>
  </si>
  <si>
    <t>НСУ 2.0</t>
  </si>
  <si>
    <t>Барейко Н. А.</t>
  </si>
  <si>
    <t>Буката П. В.</t>
  </si>
  <si>
    <t>Догадин А. М.</t>
  </si>
  <si>
    <t>Кураев А. В.</t>
  </si>
  <si>
    <t>Заказ</t>
  </si>
  <si>
    <t>Опытные образцы</t>
  </si>
  <si>
    <t>Склад</t>
  </si>
  <si>
    <t>НСУ 3.0</t>
  </si>
  <si>
    <t>План</t>
  </si>
  <si>
    <t>Факт</t>
  </si>
  <si>
    <t>Версия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</si>
</sst>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i/>
      <sz val="14"/>
      <color theme="1"/>
      <name val="Calibri"/>
      <family val="2"/>
      <charset val="204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20"/>
      <color theme="1"/>
      <name val="Calibri"/>
      <family val="2"/>
      <scheme val="minor"/>
    </font>
    <font>
      <b/>
      <i/>
      <sz val="14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DEBF7"/>
        <bgColor indexed="64"/>
      </patternFill>
    </fill>
  </fills>
  <borders count="6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auto="1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auto="1"/>
      </top>
      <bottom/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4">
    <xf numFmtId="0" fontId="0" fillId="0" borderId="0" xfId="0"/>
    <xf numFmtId="0" fontId="2" fillId="0" borderId="0" xfId="0" applyFont="1"/>
    <xf numFmtId="0" fontId="0" fillId="0" borderId="0" xfId="0" applyBorder="1"/>
    <xf numFmtId="0" fontId="0" fillId="0" borderId="0" xfId="0" applyAlignment="1">
      <alignment horizontal="center"/>
    </xf>
    <xf numFmtId="3" fontId="0" fillId="3" borderId="3" xfId="0" applyNumberFormat="1" applyFill="1" applyBorder="1" applyAlignment="1">
      <alignment horizontal="right" vertical="center" wrapText="1"/>
    </xf>
    <xf numFmtId="3" fontId="0" fillId="0" borderId="3" xfId="0" applyNumberFormat="1" applyBorder="1" applyAlignment="1">
      <alignment horizontal="right" vertical="center"/>
    </xf>
    <xf numFmtId="0" fontId="0" fillId="3" borderId="3" xfId="0" applyFill="1" applyBorder="1" applyAlignment="1">
      <alignment horizontal="right" vertical="center" wrapText="1"/>
    </xf>
    <xf numFmtId="4" fontId="0" fillId="0" borderId="0" xfId="0" applyNumberFormat="1"/>
    <xf numFmtId="3" fontId="1" fillId="0" borderId="3" xfId="0" applyNumberFormat="1" applyFont="1" applyFill="1" applyBorder="1" applyAlignment="1">
      <alignment horizontal="right" vertical="center"/>
    </xf>
    <xf numFmtId="0" fontId="0" fillId="0" borderId="3" xfId="0" applyBorder="1"/>
    <xf numFmtId="4" fontId="0" fillId="0" borderId="3" xfId="0" applyNumberFormat="1" applyBorder="1" applyAlignment="1">
      <alignment vertical="center"/>
    </xf>
    <xf numFmtId="0" fontId="0" fillId="0" borderId="3" xfId="0" applyBorder="1" applyAlignment="1">
      <alignment vertical="center"/>
    </xf>
    <xf numFmtId="0" fontId="0" fillId="3" borderId="28" xfId="0" applyFill="1" applyBorder="1" applyAlignment="1">
      <alignment horizontal="left" vertical="center" wrapText="1"/>
    </xf>
    <xf numFmtId="0" fontId="0" fillId="3" borderId="29" xfId="0" applyFill="1" applyBorder="1" applyAlignment="1">
      <alignment horizontal="left" vertical="center" wrapText="1"/>
    </xf>
    <xf numFmtId="0" fontId="0" fillId="0" borderId="29" xfId="0" applyBorder="1"/>
    <xf numFmtId="0" fontId="0" fillId="3" borderId="30" xfId="0" applyFill="1" applyBorder="1" applyAlignment="1">
      <alignment horizontal="left" vertical="center" wrapText="1"/>
    </xf>
    <xf numFmtId="0" fontId="2" fillId="0" borderId="3" xfId="0" applyNumberFormat="1" applyFont="1" applyBorder="1" applyAlignment="1">
      <alignment horizontal="center" wrapText="1"/>
    </xf>
    <xf numFmtId="0" fontId="4" fillId="0" borderId="0" xfId="0" applyFont="1" applyBorder="1"/>
    <xf numFmtId="0" fontId="4" fillId="0" borderId="0" xfId="0" applyFont="1"/>
    <xf numFmtId="0" fontId="3" fillId="2" borderId="10" xfId="0" applyNumberFormat="1" applyFont="1" applyFill="1" applyBorder="1" applyAlignment="1">
      <alignment horizontal="center" vertical="distributed" wrapText="1"/>
    </xf>
    <xf numFmtId="0" fontId="3" fillId="2" borderId="11" xfId="0" applyNumberFormat="1" applyFont="1" applyFill="1" applyBorder="1" applyAlignment="1">
      <alignment horizontal="center" vertical="center" wrapText="1"/>
    </xf>
    <xf numFmtId="0" fontId="3" fillId="2" borderId="19" xfId="0" applyNumberFormat="1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left" vertical="center" wrapText="1"/>
    </xf>
    <xf numFmtId="3" fontId="4" fillId="3" borderId="15" xfId="0" applyNumberFormat="1" applyFont="1" applyFill="1" applyBorder="1" applyAlignment="1">
      <alignment horizontal="right" vertical="center" wrapText="1"/>
    </xf>
    <xf numFmtId="3" fontId="4" fillId="0" borderId="3" xfId="0" applyNumberFormat="1" applyFont="1" applyBorder="1" applyAlignment="1">
      <alignment horizontal="right" vertical="center"/>
    </xf>
    <xf numFmtId="3" fontId="4" fillId="3" borderId="3" xfId="0" applyNumberFormat="1" applyFont="1" applyFill="1" applyBorder="1" applyAlignment="1">
      <alignment horizontal="right" vertical="center"/>
    </xf>
    <xf numFmtId="3" fontId="4" fillId="0" borderId="3" xfId="0" applyNumberFormat="1" applyFont="1" applyBorder="1"/>
    <xf numFmtId="0" fontId="4" fillId="3" borderId="4" xfId="0" applyFont="1" applyFill="1" applyBorder="1" applyAlignment="1">
      <alignment horizontal="left" vertical="center" wrapText="1"/>
    </xf>
    <xf numFmtId="3" fontId="4" fillId="3" borderId="3" xfId="0" applyNumberFormat="1" applyFont="1" applyFill="1" applyBorder="1" applyAlignment="1">
      <alignment horizontal="right" vertical="center" wrapText="1"/>
    </xf>
    <xf numFmtId="0" fontId="4" fillId="0" borderId="4" xfId="0" applyFont="1" applyBorder="1"/>
    <xf numFmtId="0" fontId="4" fillId="3" borderId="3" xfId="0" applyFont="1" applyFill="1" applyBorder="1" applyAlignment="1">
      <alignment horizontal="right" vertical="center" wrapText="1"/>
    </xf>
    <xf numFmtId="0" fontId="4" fillId="3" borderId="12" xfId="0" applyFont="1" applyFill="1" applyBorder="1" applyAlignment="1">
      <alignment horizontal="left" vertical="center" wrapText="1"/>
    </xf>
    <xf numFmtId="0" fontId="3" fillId="4" borderId="17" xfId="0" applyFont="1" applyFill="1" applyBorder="1" applyAlignment="1">
      <alignment horizontal="left" vertical="center" wrapText="1"/>
    </xf>
    <xf numFmtId="3" fontId="3" fillId="4" borderId="18" xfId="0" applyNumberFormat="1" applyFont="1" applyFill="1" applyBorder="1" applyAlignment="1">
      <alignment horizontal="right" vertical="center" wrapText="1"/>
    </xf>
    <xf numFmtId="3" fontId="3" fillId="4" borderId="18" xfId="0" applyNumberFormat="1" applyFont="1" applyFill="1" applyBorder="1" applyAlignment="1">
      <alignment horizontal="center" vertical="center"/>
    </xf>
    <xf numFmtId="0" fontId="3" fillId="4" borderId="18" xfId="0" applyFont="1" applyFill="1" applyBorder="1" applyAlignment="1">
      <alignment horizontal="center"/>
    </xf>
    <xf numFmtId="3" fontId="3" fillId="4" borderId="23" xfId="0" applyNumberFormat="1" applyFont="1" applyFill="1" applyBorder="1" applyAlignment="1">
      <alignment horizontal="right" vertical="center"/>
    </xf>
    <xf numFmtId="3" fontId="3" fillId="4" borderId="18" xfId="0" applyNumberFormat="1" applyFont="1" applyFill="1" applyBorder="1" applyAlignment="1">
      <alignment horizontal="right"/>
    </xf>
    <xf numFmtId="0" fontId="4" fillId="3" borderId="9" xfId="0" applyFont="1" applyFill="1" applyBorder="1" applyAlignment="1">
      <alignment horizontal="left" vertical="center" wrapText="1"/>
    </xf>
    <xf numFmtId="3" fontId="4" fillId="3" borderId="7" xfId="0" applyNumberFormat="1" applyFont="1" applyFill="1" applyBorder="1" applyAlignment="1">
      <alignment horizontal="right" vertical="center" wrapText="1"/>
    </xf>
    <xf numFmtId="3" fontId="5" fillId="0" borderId="24" xfId="0" applyNumberFormat="1" applyFont="1" applyFill="1" applyBorder="1" applyAlignment="1">
      <alignment horizontal="right" vertical="center"/>
    </xf>
    <xf numFmtId="0" fontId="4" fillId="0" borderId="5" xfId="0" applyFont="1" applyBorder="1"/>
    <xf numFmtId="3" fontId="5" fillId="0" borderId="25" xfId="0" applyNumberFormat="1" applyFont="1" applyBorder="1" applyAlignment="1">
      <alignment horizontal="right" vertical="center"/>
    </xf>
    <xf numFmtId="0" fontId="3" fillId="4" borderId="1" xfId="0" applyFont="1" applyFill="1" applyBorder="1"/>
    <xf numFmtId="3" fontId="3" fillId="4" borderId="2" xfId="0" applyNumberFormat="1" applyFont="1" applyFill="1" applyBorder="1" applyAlignment="1">
      <alignment horizontal="right" vertical="center"/>
    </xf>
    <xf numFmtId="3" fontId="3" fillId="4" borderId="26" xfId="0" applyNumberFormat="1" applyFont="1" applyFill="1" applyBorder="1" applyAlignment="1">
      <alignment horizontal="right" vertical="center"/>
    </xf>
    <xf numFmtId="0" fontId="4" fillId="3" borderId="16" xfId="0" applyFont="1" applyFill="1" applyBorder="1" applyAlignment="1">
      <alignment horizontal="left" vertical="center" wrapText="1"/>
    </xf>
    <xf numFmtId="3" fontId="4" fillId="3" borderId="8" xfId="0" applyNumberFormat="1" applyFont="1" applyFill="1" applyBorder="1" applyAlignment="1">
      <alignment horizontal="right" vertical="center" wrapText="1"/>
    </xf>
    <xf numFmtId="3" fontId="4" fillId="0" borderId="27" xfId="0" applyNumberFormat="1" applyFont="1" applyFill="1" applyBorder="1" applyAlignment="1">
      <alignment horizontal="right" vertical="center"/>
    </xf>
    <xf numFmtId="3" fontId="3" fillId="4" borderId="2" xfId="0" applyNumberFormat="1" applyFont="1" applyFill="1" applyBorder="1" applyAlignment="1">
      <alignment horizontal="right"/>
    </xf>
    <xf numFmtId="0" fontId="4" fillId="4" borderId="2" xfId="0" applyFont="1" applyFill="1" applyBorder="1"/>
    <xf numFmtId="3" fontId="3" fillId="4" borderId="26" xfId="0" applyNumberFormat="1" applyFont="1" applyFill="1" applyBorder="1" applyAlignment="1">
      <alignment horizontal="right"/>
    </xf>
    <xf numFmtId="0" fontId="3" fillId="2" borderId="3" xfId="0" applyNumberFormat="1" applyFont="1" applyFill="1" applyBorder="1" applyAlignment="1">
      <alignment horizontal="center" vertical="center" wrapText="1"/>
    </xf>
    <xf numFmtId="3" fontId="4" fillId="0" borderId="20" xfId="0" applyNumberFormat="1" applyFont="1" applyFill="1" applyBorder="1" applyAlignment="1">
      <alignment horizontal="center" vertical="center"/>
    </xf>
    <xf numFmtId="3" fontId="4" fillId="0" borderId="21" xfId="0" applyNumberFormat="1" applyFont="1" applyFill="1" applyBorder="1" applyAlignment="1">
      <alignment horizontal="center" vertical="center"/>
    </xf>
    <xf numFmtId="0" fontId="3" fillId="4" borderId="23" xfId="0" applyFont="1" applyFill="1" applyBorder="1" applyAlignment="1">
      <alignment horizontal="center"/>
    </xf>
    <xf numFmtId="0" fontId="4" fillId="4" borderId="26" xfId="0" applyFont="1" applyFill="1" applyBorder="1"/>
    <xf numFmtId="3" fontId="4" fillId="0" borderId="15" xfId="0" applyNumberFormat="1" applyFont="1" applyFill="1" applyBorder="1" applyAlignment="1">
      <alignment horizontal="right" vertical="center"/>
    </xf>
    <xf numFmtId="3" fontId="4" fillId="0" borderId="3" xfId="0" applyNumberFormat="1" applyFont="1" applyFill="1" applyBorder="1" applyAlignment="1">
      <alignment horizontal="right" vertical="center"/>
    </xf>
    <xf numFmtId="0" fontId="4" fillId="3" borderId="3" xfId="0" applyFont="1" applyFill="1" applyBorder="1" applyAlignment="1">
      <alignment horizontal="right"/>
    </xf>
    <xf numFmtId="3" fontId="4" fillId="3" borderId="13" xfId="0" applyNumberFormat="1" applyFont="1" applyFill="1" applyBorder="1" applyAlignment="1">
      <alignment horizontal="right" vertical="center"/>
    </xf>
    <xf numFmtId="3" fontId="4" fillId="0" borderId="7" xfId="0" applyNumberFormat="1" applyFont="1" applyFill="1" applyBorder="1" applyAlignment="1">
      <alignment horizontal="right" vertical="center"/>
    </xf>
    <xf numFmtId="3" fontId="4" fillId="0" borderId="24" xfId="0" applyNumberFormat="1" applyFont="1" applyFill="1" applyBorder="1" applyAlignment="1">
      <alignment horizontal="right" vertical="center"/>
    </xf>
    <xf numFmtId="0" fontId="4" fillId="3" borderId="21" xfId="0" applyFont="1" applyFill="1" applyBorder="1" applyAlignment="1">
      <alignment horizontal="right"/>
    </xf>
    <xf numFmtId="3" fontId="4" fillId="0" borderId="25" xfId="0" applyNumberFormat="1" applyFont="1" applyBorder="1" applyAlignment="1">
      <alignment horizontal="right" vertical="center"/>
    </xf>
    <xf numFmtId="3" fontId="4" fillId="4" borderId="2" xfId="0" applyNumberFormat="1" applyFont="1" applyFill="1" applyBorder="1" applyAlignment="1">
      <alignment horizontal="right" vertical="center"/>
    </xf>
    <xf numFmtId="3" fontId="4" fillId="4" borderId="26" xfId="0" applyNumberFormat="1" applyFont="1" applyFill="1" applyBorder="1" applyAlignment="1">
      <alignment horizontal="right" vertical="center"/>
    </xf>
    <xf numFmtId="3" fontId="4" fillId="0" borderId="8" xfId="0" applyNumberFormat="1" applyFont="1" applyFill="1" applyBorder="1" applyAlignment="1">
      <alignment horizontal="right" vertical="center"/>
    </xf>
    <xf numFmtId="0" fontId="0" fillId="0" borderId="31" xfId="0" applyBorder="1"/>
    <xf numFmtId="0" fontId="2" fillId="0" borderId="3" xfId="0" applyFont="1" applyBorder="1"/>
    <xf numFmtId="0" fontId="3" fillId="2" borderId="27" xfId="0" applyNumberFormat="1" applyFont="1" applyFill="1" applyBorder="1" applyAlignment="1">
      <alignment horizontal="center" vertical="center" wrapText="1"/>
    </xf>
    <xf numFmtId="4" fontId="0" fillId="0" borderId="3" xfId="0" applyNumberFormat="1" applyBorder="1"/>
    <xf numFmtId="4" fontId="2" fillId="0" borderId="3" xfId="0" applyNumberFormat="1" applyFont="1" applyBorder="1"/>
    <xf numFmtId="0" fontId="0" fillId="0" borderId="21" xfId="0" applyBorder="1"/>
    <xf numFmtId="0" fontId="2" fillId="0" borderId="21" xfId="0" applyFont="1" applyBorder="1"/>
    <xf numFmtId="0" fontId="0" fillId="0" borderId="32" xfId="0" applyBorder="1"/>
    <xf numFmtId="4" fontId="2" fillId="0" borderId="3" xfId="0" applyNumberFormat="1" applyFont="1" applyBorder="1" applyAlignment="1">
      <alignment horizontal="center"/>
    </xf>
    <xf numFmtId="4" fontId="2" fillId="0" borderId="3" xfId="0" applyNumberFormat="1" applyFont="1" applyBorder="1" applyAlignment="1">
      <alignment horizontal="right"/>
    </xf>
    <xf numFmtId="3" fontId="2" fillId="0" borderId="3" xfId="0" applyNumberFormat="1" applyFont="1" applyBorder="1"/>
    <xf numFmtId="3" fontId="0" fillId="0" borderId="3" xfId="0" applyNumberFormat="1" applyBorder="1"/>
    <xf numFmtId="0" fontId="0" fillId="0" borderId="24" xfId="0" applyBorder="1"/>
    <xf numFmtId="0" fontId="0" fillId="0" borderId="7" xfId="0" applyBorder="1"/>
    <xf numFmtId="3" fontId="0" fillId="0" borderId="0" xfId="0" applyNumberFormat="1"/>
    <xf numFmtId="0" fontId="8" fillId="0" borderId="0" xfId="0" applyFont="1"/>
    <xf numFmtId="3" fontId="4" fillId="3" borderId="3" xfId="0" applyNumberFormat="1" applyFont="1" applyFill="1" applyBorder="1" applyAlignment="1">
      <alignment horizontal="right"/>
    </xf>
    <xf numFmtId="3" fontId="4" fillId="3" borderId="21" xfId="0" applyNumberFormat="1" applyFont="1" applyFill="1" applyBorder="1" applyAlignment="1">
      <alignment horizontal="center"/>
    </xf>
    <xf numFmtId="3" fontId="4" fillId="3" borderId="13" xfId="0" applyNumberFormat="1" applyFont="1" applyFill="1" applyBorder="1" applyAlignment="1">
      <alignment horizontal="right" vertical="center" wrapText="1"/>
    </xf>
    <xf numFmtId="3" fontId="4" fillId="3" borderId="13" xfId="0" applyNumberFormat="1" applyFont="1" applyFill="1" applyBorder="1" applyAlignment="1">
      <alignment horizontal="right"/>
    </xf>
    <xf numFmtId="3" fontId="4" fillId="3" borderId="22" xfId="0" applyNumberFormat="1" applyFont="1" applyFill="1" applyBorder="1" applyAlignment="1">
      <alignment horizontal="center"/>
    </xf>
    <xf numFmtId="3" fontId="4" fillId="5" borderId="15" xfId="0" applyNumberFormat="1" applyFont="1" applyFill="1" applyBorder="1" applyAlignment="1">
      <alignment horizontal="right" vertical="center" wrapText="1"/>
    </xf>
    <xf numFmtId="3" fontId="4" fillId="5" borderId="3" xfId="0" applyNumberFormat="1" applyFont="1" applyFill="1" applyBorder="1" applyAlignment="1">
      <alignment horizontal="right" vertical="center" wrapText="1"/>
    </xf>
    <xf numFmtId="3" fontId="4" fillId="5" borderId="13" xfId="0" applyNumberFormat="1" applyFont="1" applyFill="1" applyBorder="1" applyAlignment="1">
      <alignment horizontal="right" vertical="center" wrapText="1"/>
    </xf>
    <xf numFmtId="3" fontId="4" fillId="5" borderId="3" xfId="0" applyNumberFormat="1" applyFont="1" applyFill="1" applyBorder="1" applyAlignment="1">
      <alignment horizontal="right" vertical="center"/>
    </xf>
    <xf numFmtId="0" fontId="4" fillId="5" borderId="3" xfId="0" applyFont="1" applyFill="1" applyBorder="1" applyAlignment="1">
      <alignment horizontal="right" vertical="center" wrapText="1"/>
    </xf>
    <xf numFmtId="3" fontId="4" fillId="5" borderId="8" xfId="0" applyNumberFormat="1" applyFont="1" applyFill="1" applyBorder="1" applyAlignment="1">
      <alignment horizontal="right" vertical="center" wrapText="1"/>
    </xf>
    <xf numFmtId="3" fontId="5" fillId="5" borderId="20" xfId="0" applyNumberFormat="1" applyFont="1" applyFill="1" applyBorder="1" applyAlignment="1">
      <alignment horizontal="right" vertical="center"/>
    </xf>
    <xf numFmtId="3" fontId="5" fillId="5" borderId="21" xfId="0" applyNumberFormat="1" applyFont="1" applyFill="1" applyBorder="1" applyAlignment="1">
      <alignment horizontal="right" vertical="center"/>
    </xf>
    <xf numFmtId="3" fontId="4" fillId="5" borderId="27" xfId="0" applyNumberFormat="1" applyFont="1" applyFill="1" applyBorder="1" applyAlignment="1">
      <alignment horizontal="right" vertical="center"/>
    </xf>
    <xf numFmtId="0" fontId="3" fillId="2" borderId="3" xfId="0" applyNumberFormat="1" applyFont="1" applyFill="1" applyBorder="1" applyAlignment="1">
      <alignment horizontal="center" vertical="center" wrapText="1"/>
    </xf>
    <xf numFmtId="3" fontId="4" fillId="0" borderId="6" xfId="0" applyNumberFormat="1" applyFont="1" applyBorder="1" applyAlignment="1">
      <alignment horizontal="right" vertical="center"/>
    </xf>
    <xf numFmtId="3" fontId="4" fillId="0" borderId="7" xfId="0" applyNumberFormat="1" applyFont="1" applyBorder="1" applyAlignment="1">
      <alignment horizontal="right" vertical="center"/>
    </xf>
    <xf numFmtId="3" fontId="4" fillId="6" borderId="3" xfId="0" applyNumberFormat="1" applyFont="1" applyFill="1" applyBorder="1" applyAlignment="1">
      <alignment horizontal="right" vertical="center"/>
    </xf>
    <xf numFmtId="0" fontId="0" fillId="0" borderId="0" xfId="0" applyFill="1"/>
    <xf numFmtId="0" fontId="3" fillId="0" borderId="0" xfId="0" applyFont="1" applyFill="1" applyAlignment="1">
      <alignment horizontal="center"/>
    </xf>
    <xf numFmtId="3" fontId="4" fillId="0" borderId="35" xfId="0" applyNumberFormat="1" applyFont="1" applyFill="1" applyBorder="1" applyAlignment="1">
      <alignment horizontal="right" vertical="center"/>
    </xf>
    <xf numFmtId="3" fontId="4" fillId="0" borderId="13" xfId="0" applyNumberFormat="1" applyFont="1" applyFill="1" applyBorder="1" applyAlignment="1">
      <alignment horizontal="right" vertical="center"/>
    </xf>
    <xf numFmtId="3" fontId="4" fillId="0" borderId="36" xfId="0" applyNumberFormat="1" applyFont="1" applyFill="1" applyBorder="1" applyAlignment="1">
      <alignment horizontal="right" vertical="center"/>
    </xf>
    <xf numFmtId="0" fontId="3" fillId="4" borderId="33" xfId="0" applyNumberFormat="1" applyFont="1" applyFill="1" applyBorder="1" applyAlignment="1">
      <alignment horizontal="center" vertical="center" wrapText="1"/>
    </xf>
    <xf numFmtId="3" fontId="3" fillId="7" borderId="18" xfId="0" applyNumberFormat="1" applyFont="1" applyFill="1" applyBorder="1" applyAlignment="1">
      <alignment horizontal="right" vertical="center"/>
    </xf>
    <xf numFmtId="0" fontId="10" fillId="0" borderId="0" xfId="0" applyFont="1"/>
    <xf numFmtId="0" fontId="3" fillId="4" borderId="37" xfId="0" applyNumberFormat="1" applyFont="1" applyFill="1" applyBorder="1" applyAlignment="1">
      <alignment horizontal="center" vertical="distributed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30" xfId="0" applyFont="1" applyFill="1" applyBorder="1" applyAlignment="1">
      <alignment horizontal="left" vertical="center" wrapText="1"/>
    </xf>
    <xf numFmtId="3" fontId="4" fillId="0" borderId="40" xfId="0" applyNumberFormat="1" applyFont="1" applyFill="1" applyBorder="1" applyAlignment="1">
      <alignment horizontal="right" vertical="center"/>
    </xf>
    <xf numFmtId="3" fontId="4" fillId="0" borderId="41" xfId="0" applyNumberFormat="1" applyFont="1" applyFill="1" applyBorder="1" applyAlignment="1">
      <alignment horizontal="right" vertical="center"/>
    </xf>
    <xf numFmtId="3" fontId="3" fillId="7" borderId="43" xfId="0" applyNumberFormat="1" applyFont="1" applyFill="1" applyBorder="1" applyAlignment="1">
      <alignment horizontal="right" vertical="center"/>
    </xf>
    <xf numFmtId="3" fontId="4" fillId="7" borderId="52" xfId="0" applyNumberFormat="1" applyFont="1" applyFill="1" applyBorder="1" applyAlignment="1">
      <alignment horizontal="right" vertical="center"/>
    </xf>
    <xf numFmtId="3" fontId="9" fillId="3" borderId="44" xfId="0" applyNumberFormat="1" applyFont="1" applyFill="1" applyBorder="1" applyAlignment="1">
      <alignment horizontal="right" vertical="center" wrapText="1"/>
    </xf>
    <xf numFmtId="3" fontId="9" fillId="3" borderId="45" xfId="0" applyNumberFormat="1" applyFont="1" applyFill="1" applyBorder="1" applyAlignment="1">
      <alignment horizontal="right" vertical="center" wrapText="1"/>
    </xf>
    <xf numFmtId="3" fontId="9" fillId="3" borderId="47" xfId="0" applyNumberFormat="1" applyFont="1" applyFill="1" applyBorder="1" applyAlignment="1">
      <alignment horizontal="right" vertical="center" wrapText="1"/>
    </xf>
    <xf numFmtId="0" fontId="9" fillId="0" borderId="44" xfId="0" applyFont="1" applyBorder="1"/>
    <xf numFmtId="0" fontId="9" fillId="0" borderId="45" xfId="0" applyFont="1" applyBorder="1"/>
    <xf numFmtId="3" fontId="3" fillId="7" borderId="46" xfId="0" applyNumberFormat="1" applyFont="1" applyFill="1" applyBorder="1" applyAlignment="1">
      <alignment horizontal="right" vertical="center"/>
    </xf>
    <xf numFmtId="3" fontId="3" fillId="7" borderId="42" xfId="0" applyNumberFormat="1" applyFont="1" applyFill="1" applyBorder="1" applyAlignment="1">
      <alignment horizontal="right" vertical="center"/>
    </xf>
    <xf numFmtId="3" fontId="3" fillId="7" borderId="47" xfId="0" applyNumberFormat="1" applyFont="1" applyFill="1" applyBorder="1" applyAlignment="1">
      <alignment horizontal="right"/>
    </xf>
    <xf numFmtId="0" fontId="9" fillId="3" borderId="44" xfId="0" applyFont="1" applyFill="1" applyBorder="1" applyAlignment="1">
      <alignment horizontal="left" vertical="center" wrapText="1"/>
    </xf>
    <xf numFmtId="0" fontId="9" fillId="3" borderId="45" xfId="0" applyFont="1" applyFill="1" applyBorder="1" applyAlignment="1">
      <alignment horizontal="left" vertical="center" wrapText="1"/>
    </xf>
    <xf numFmtId="3" fontId="9" fillId="0" borderId="44" xfId="0" applyNumberFormat="1" applyFont="1" applyFill="1" applyBorder="1" applyAlignment="1">
      <alignment horizontal="right" vertical="center" wrapText="1"/>
    </xf>
    <xf numFmtId="3" fontId="9" fillId="0" borderId="45" xfId="0" applyNumberFormat="1" applyFont="1" applyBorder="1" applyAlignment="1">
      <alignment horizontal="right" vertical="center"/>
    </xf>
    <xf numFmtId="0" fontId="9" fillId="3" borderId="45" xfId="0" applyFont="1" applyFill="1" applyBorder="1" applyAlignment="1">
      <alignment horizontal="right" vertical="center" wrapText="1"/>
    </xf>
    <xf numFmtId="0" fontId="9" fillId="7" borderId="50" xfId="0" applyFont="1" applyFill="1" applyBorder="1" applyAlignment="1">
      <alignment horizontal="right" vertical="center" wrapText="1"/>
    </xf>
    <xf numFmtId="0" fontId="9" fillId="7" borderId="38" xfId="0" applyFont="1" applyFill="1" applyBorder="1" applyAlignment="1">
      <alignment horizontal="right"/>
    </xf>
    <xf numFmtId="0" fontId="9" fillId="7" borderId="39" xfId="0" applyFont="1" applyFill="1" applyBorder="1" applyAlignment="1">
      <alignment horizontal="right"/>
    </xf>
    <xf numFmtId="3" fontId="3" fillId="7" borderId="51" xfId="0" applyNumberFormat="1" applyFont="1" applyFill="1" applyBorder="1" applyAlignment="1">
      <alignment horizontal="right" vertical="center" wrapText="1"/>
    </xf>
    <xf numFmtId="0" fontId="9" fillId="5" borderId="28" xfId="0" applyFont="1" applyFill="1" applyBorder="1" applyAlignment="1">
      <alignment horizontal="left" vertical="center" wrapText="1"/>
    </xf>
    <xf numFmtId="3" fontId="9" fillId="5" borderId="46" xfId="0" applyNumberFormat="1" applyFont="1" applyFill="1" applyBorder="1" applyAlignment="1">
      <alignment horizontal="right" vertical="center" wrapText="1"/>
    </xf>
    <xf numFmtId="3" fontId="4" fillId="5" borderId="42" xfId="0" applyNumberFormat="1" applyFont="1" applyFill="1" applyBorder="1" applyAlignment="1">
      <alignment horizontal="right" vertical="center"/>
    </xf>
    <xf numFmtId="3" fontId="4" fillId="5" borderId="8" xfId="0" applyNumberFormat="1" applyFont="1" applyFill="1" applyBorder="1" applyAlignment="1">
      <alignment horizontal="right" vertical="center"/>
    </xf>
    <xf numFmtId="3" fontId="4" fillId="5" borderId="48" xfId="0" applyNumberFormat="1" applyFont="1" applyFill="1" applyBorder="1" applyAlignment="1">
      <alignment horizontal="right" vertical="center"/>
    </xf>
    <xf numFmtId="0" fontId="9" fillId="8" borderId="39" xfId="0" applyFont="1" applyFill="1" applyBorder="1" applyAlignment="1">
      <alignment horizontal="right" vertical="center" wrapText="1"/>
    </xf>
    <xf numFmtId="3" fontId="3" fillId="8" borderId="47" xfId="0" applyNumberFormat="1" applyFont="1" applyFill="1" applyBorder="1" applyAlignment="1">
      <alignment horizontal="right" vertical="center" wrapText="1"/>
    </xf>
    <xf numFmtId="3" fontId="3" fillId="8" borderId="43" xfId="0" applyNumberFormat="1" applyFont="1" applyFill="1" applyBorder="1" applyAlignment="1">
      <alignment horizontal="right"/>
    </xf>
    <xf numFmtId="3" fontId="3" fillId="8" borderId="18" xfId="0" applyNumberFormat="1" applyFont="1" applyFill="1" applyBorder="1" applyAlignment="1">
      <alignment horizontal="right"/>
    </xf>
    <xf numFmtId="3" fontId="3" fillId="8" borderId="49" xfId="0" applyNumberFormat="1" applyFont="1" applyFill="1" applyBorder="1" applyAlignment="1">
      <alignment horizontal="right"/>
    </xf>
    <xf numFmtId="0" fontId="9" fillId="7" borderId="37" xfId="0" applyFont="1" applyFill="1" applyBorder="1" applyAlignment="1">
      <alignment horizontal="right" vertical="center" wrapText="1"/>
    </xf>
    <xf numFmtId="3" fontId="3" fillId="7" borderId="33" xfId="0" applyNumberFormat="1" applyFont="1" applyFill="1" applyBorder="1" applyAlignment="1">
      <alignment horizontal="right" vertical="center" wrapText="1"/>
    </xf>
    <xf numFmtId="3" fontId="4" fillId="7" borderId="53" xfId="0" applyNumberFormat="1" applyFont="1" applyFill="1" applyBorder="1" applyAlignment="1">
      <alignment horizontal="right" vertical="center"/>
    </xf>
    <xf numFmtId="3" fontId="3" fillId="7" borderId="33" xfId="0" applyNumberFormat="1" applyFont="1" applyFill="1" applyBorder="1" applyAlignment="1">
      <alignment horizontal="right" vertical="center"/>
    </xf>
    <xf numFmtId="3" fontId="4" fillId="7" borderId="33" xfId="0" applyNumberFormat="1" applyFont="1" applyFill="1" applyBorder="1" applyAlignment="1">
      <alignment horizontal="right" vertical="center"/>
    </xf>
    <xf numFmtId="0" fontId="9" fillId="5" borderId="38" xfId="0" applyFont="1" applyFill="1" applyBorder="1" applyAlignment="1">
      <alignment horizontal="left" vertical="center" wrapText="1"/>
    </xf>
    <xf numFmtId="3" fontId="4" fillId="0" borderId="20" xfId="0" applyNumberFormat="1" applyFont="1" applyFill="1" applyBorder="1" applyAlignment="1">
      <alignment horizontal="right" vertical="center"/>
    </xf>
    <xf numFmtId="3" fontId="4" fillId="0" borderId="22" xfId="0" applyNumberFormat="1" applyFont="1" applyFill="1" applyBorder="1" applyAlignment="1">
      <alignment horizontal="right" vertical="center"/>
    </xf>
    <xf numFmtId="3" fontId="3" fillId="8" borderId="23" xfId="0" applyNumberFormat="1" applyFont="1" applyFill="1" applyBorder="1" applyAlignment="1">
      <alignment horizontal="right"/>
    </xf>
    <xf numFmtId="3" fontId="4" fillId="0" borderId="14" xfId="0" applyNumberFormat="1" applyFont="1" applyFill="1" applyBorder="1" applyAlignment="1">
      <alignment horizontal="right" vertical="center"/>
    </xf>
    <xf numFmtId="3" fontId="4" fillId="0" borderId="12" xfId="0" applyNumberFormat="1" applyFont="1" applyFill="1" applyBorder="1" applyAlignment="1">
      <alignment horizontal="right" vertical="center"/>
    </xf>
    <xf numFmtId="3" fontId="4" fillId="7" borderId="10" xfId="0" applyNumberFormat="1" applyFont="1" applyFill="1" applyBorder="1" applyAlignment="1">
      <alignment horizontal="right" vertical="center"/>
    </xf>
    <xf numFmtId="3" fontId="4" fillId="7" borderId="55" xfId="0" applyNumberFormat="1" applyFont="1" applyFill="1" applyBorder="1" applyAlignment="1">
      <alignment horizontal="right" vertical="center"/>
    </xf>
    <xf numFmtId="3" fontId="4" fillId="0" borderId="44" xfId="0" applyNumberFormat="1" applyFont="1" applyFill="1" applyBorder="1" applyAlignment="1">
      <alignment horizontal="right" vertical="center"/>
    </xf>
    <xf numFmtId="3" fontId="4" fillId="0" borderId="45" xfId="0" applyNumberFormat="1" applyFont="1" applyFill="1" applyBorder="1" applyAlignment="1">
      <alignment horizontal="right" vertical="center"/>
    </xf>
    <xf numFmtId="3" fontId="3" fillId="8" borderId="47" xfId="0" applyNumberFormat="1" applyFont="1" applyFill="1" applyBorder="1" applyAlignment="1">
      <alignment horizontal="right"/>
    </xf>
    <xf numFmtId="3" fontId="4" fillId="5" borderId="46" xfId="0" applyNumberFormat="1" applyFont="1" applyFill="1" applyBorder="1" applyAlignment="1">
      <alignment horizontal="right" vertical="center"/>
    </xf>
    <xf numFmtId="3" fontId="3" fillId="7" borderId="16" xfId="0" applyNumberFormat="1" applyFont="1" applyFill="1" applyBorder="1" applyAlignment="1">
      <alignment horizontal="right" vertical="center"/>
    </xf>
    <xf numFmtId="3" fontId="3" fillId="7" borderId="54" xfId="0" applyNumberFormat="1" applyFont="1" applyFill="1" applyBorder="1" applyAlignment="1">
      <alignment horizontal="right" vertical="center"/>
    </xf>
    <xf numFmtId="3" fontId="3" fillId="7" borderId="17" xfId="0" applyNumberFormat="1" applyFont="1" applyFill="1" applyBorder="1" applyAlignment="1">
      <alignment horizontal="right" vertical="center"/>
    </xf>
    <xf numFmtId="3" fontId="3" fillId="7" borderId="49" xfId="0" applyNumberFormat="1" applyFont="1" applyFill="1" applyBorder="1" applyAlignment="1">
      <alignment horizontal="right" vertical="center"/>
    </xf>
    <xf numFmtId="3" fontId="3" fillId="8" borderId="17" xfId="0" applyNumberFormat="1" applyFont="1" applyFill="1" applyBorder="1" applyAlignment="1">
      <alignment horizontal="right"/>
    </xf>
    <xf numFmtId="3" fontId="4" fillId="5" borderId="16" xfId="0" applyNumberFormat="1" applyFont="1" applyFill="1" applyBorder="1" applyAlignment="1">
      <alignment horizontal="right" vertical="center"/>
    </xf>
    <xf numFmtId="3" fontId="4" fillId="0" borderId="56" xfId="0" applyNumberFormat="1" applyFont="1" applyFill="1" applyBorder="1" applyAlignment="1">
      <alignment horizontal="right" vertical="center"/>
    </xf>
    <xf numFmtId="3" fontId="4" fillId="0" borderId="54" xfId="0" applyNumberFormat="1" applyFont="1" applyFill="1" applyBorder="1" applyAlignment="1">
      <alignment horizontal="right" vertical="center"/>
    </xf>
    <xf numFmtId="3" fontId="4" fillId="0" borderId="57" xfId="0" applyNumberFormat="1" applyFont="1" applyFill="1" applyBorder="1" applyAlignment="1">
      <alignment horizontal="right" vertical="center"/>
    </xf>
    <xf numFmtId="3" fontId="4" fillId="7" borderId="37" xfId="0" applyNumberFormat="1" applyFont="1" applyFill="1" applyBorder="1" applyAlignment="1">
      <alignment horizontal="right" vertical="center"/>
    </xf>
    <xf numFmtId="3" fontId="4" fillId="7" borderId="34" xfId="0" applyNumberFormat="1" applyFont="1" applyFill="1" applyBorder="1" applyAlignment="1">
      <alignment horizontal="right" vertical="center"/>
    </xf>
    <xf numFmtId="3" fontId="3" fillId="8" borderId="58" xfId="0" applyNumberFormat="1" applyFont="1" applyFill="1" applyBorder="1" applyAlignment="1">
      <alignment horizontal="right"/>
    </xf>
    <xf numFmtId="3" fontId="4" fillId="5" borderId="54" xfId="0" applyNumberFormat="1" applyFont="1" applyFill="1" applyBorder="1" applyAlignment="1">
      <alignment horizontal="right" vertical="center"/>
    </xf>
    <xf numFmtId="3" fontId="3" fillId="7" borderId="58" xfId="0" applyNumberFormat="1" applyFont="1" applyFill="1" applyBorder="1" applyAlignment="1">
      <alignment horizontal="right" vertical="center"/>
    </xf>
    <xf numFmtId="0" fontId="9" fillId="3" borderId="59" xfId="0" applyFont="1" applyFill="1" applyBorder="1" applyAlignment="1">
      <alignment horizontal="left" vertical="center" wrapText="1"/>
    </xf>
    <xf numFmtId="3" fontId="9" fillId="3" borderId="60" xfId="0" applyNumberFormat="1" applyFont="1" applyFill="1" applyBorder="1" applyAlignment="1">
      <alignment horizontal="right" vertical="center" wrapText="1"/>
    </xf>
    <xf numFmtId="3" fontId="4" fillId="0" borderId="5" xfId="0" applyNumberFormat="1" applyFont="1" applyFill="1" applyBorder="1" applyAlignment="1">
      <alignment horizontal="right" vertical="center"/>
    </xf>
    <xf numFmtId="3" fontId="4" fillId="0" borderId="61" xfId="0" applyNumberFormat="1" applyFont="1" applyFill="1" applyBorder="1" applyAlignment="1">
      <alignment horizontal="right" vertical="center"/>
    </xf>
    <xf numFmtId="3" fontId="4" fillId="0" borderId="6" xfId="0" applyNumberFormat="1" applyFont="1" applyFill="1" applyBorder="1" applyAlignment="1">
      <alignment horizontal="right" vertical="center"/>
    </xf>
    <xf numFmtId="3" fontId="4" fillId="0" borderId="52" xfId="0" applyNumberFormat="1" applyFont="1" applyFill="1" applyBorder="1" applyAlignment="1">
      <alignment horizontal="right" vertical="center"/>
    </xf>
    <xf numFmtId="3" fontId="4" fillId="0" borderId="62" xfId="0" applyNumberFormat="1" applyFont="1" applyFill="1" applyBorder="1" applyAlignment="1">
      <alignment horizontal="right" vertical="center"/>
    </xf>
    <xf numFmtId="3" fontId="4" fillId="7" borderId="1" xfId="0" applyNumberFormat="1" applyFont="1" applyFill="1" applyBorder="1" applyAlignment="1">
      <alignment horizontal="right" vertical="center"/>
    </xf>
    <xf numFmtId="3" fontId="4" fillId="7" borderId="63" xfId="0" applyNumberFormat="1" applyFont="1" applyFill="1" applyBorder="1" applyAlignment="1">
      <alignment horizontal="right" vertical="center"/>
    </xf>
    <xf numFmtId="0" fontId="0" fillId="4" borderId="38" xfId="0" applyFill="1" applyBorder="1"/>
    <xf numFmtId="0" fontId="0" fillId="4" borderId="51" xfId="0" applyFill="1" applyBorder="1"/>
    <xf numFmtId="0" fontId="0" fillId="4" borderId="47" xfId="0" applyFill="1" applyBorder="1"/>
    <xf numFmtId="0" fontId="2" fillId="4" borderId="33" xfId="0" applyFont="1" applyFill="1" applyBorder="1" applyAlignment="1">
      <alignment horizontal="center"/>
    </xf>
    <xf numFmtId="0" fontId="3" fillId="4" borderId="37" xfId="0" applyNumberFormat="1" applyFont="1" applyFill="1" applyBorder="1" applyAlignment="1">
      <alignment horizontal="center" vertical="center" wrapText="1"/>
    </xf>
    <xf numFmtId="0" fontId="3" fillId="4" borderId="53" xfId="0" applyNumberFormat="1" applyFont="1" applyFill="1" applyBorder="1" applyAlignment="1">
      <alignment horizontal="center" vertical="center" wrapText="1"/>
    </xf>
    <xf numFmtId="0" fontId="3" fillId="4" borderId="34" xfId="0" applyNumberFormat="1" applyFont="1" applyFill="1" applyBorder="1" applyAlignment="1">
      <alignment horizontal="center" vertical="center" wrapText="1"/>
    </xf>
    <xf numFmtId="0" fontId="2" fillId="4" borderId="37" xfId="0" applyFont="1" applyFill="1" applyBorder="1" applyAlignment="1">
      <alignment horizontal="center"/>
    </xf>
    <xf numFmtId="0" fontId="2" fillId="4" borderId="34" xfId="0" applyFont="1" applyFill="1" applyBorder="1" applyAlignment="1">
      <alignment horizontal="center"/>
    </xf>
    <xf numFmtId="0" fontId="11" fillId="6" borderId="0" xfId="0" applyFont="1" applyFill="1" applyAlignment="1">
      <alignment horizontal="center"/>
    </xf>
    <xf numFmtId="0" fontId="3" fillId="9" borderId="37" xfId="0" applyNumberFormat="1" applyFont="1" applyFill="1" applyBorder="1" applyAlignment="1">
      <alignment horizontal="center" vertical="center" wrapText="1"/>
    </xf>
    <xf numFmtId="0" fontId="3" fillId="9" borderId="53" xfId="0" applyNumberFormat="1" applyFont="1" applyFill="1" applyBorder="1" applyAlignment="1">
      <alignment horizontal="center" vertical="center" wrapText="1"/>
    </xf>
    <xf numFmtId="0" fontId="3" fillId="9" borderId="34" xfId="0" applyNumberFormat="1" applyFont="1" applyFill="1" applyBorder="1" applyAlignment="1">
      <alignment horizontal="center" vertical="center" wrapText="1"/>
    </xf>
    <xf numFmtId="3" fontId="4" fillId="0" borderId="6" xfId="0" applyNumberFormat="1" applyFont="1" applyBorder="1" applyAlignment="1">
      <alignment horizontal="right" vertical="center"/>
    </xf>
    <xf numFmtId="3" fontId="4" fillId="0" borderId="7" xfId="0" applyNumberFormat="1" applyFont="1" applyBorder="1" applyAlignment="1">
      <alignment horizontal="right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2" borderId="3" xfId="0" applyNumberFormat="1" applyFont="1" applyFill="1" applyBorder="1" applyAlignment="1">
      <alignment horizontal="center" vertical="center" wrapText="1"/>
    </xf>
    <xf numFmtId="3" fontId="5" fillId="0" borderId="6" xfId="0" applyNumberFormat="1" applyFont="1" applyBorder="1" applyAlignment="1">
      <alignment horizontal="right" vertical="center"/>
    </xf>
    <xf numFmtId="3" fontId="5" fillId="0" borderId="7" xfId="0" applyNumberFormat="1" applyFont="1" applyBorder="1" applyAlignment="1">
      <alignment horizontal="right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32"/>
  <sheetViews>
    <sheetView tabSelected="1" zoomScale="85" zoomScaleNormal="85" workbookViewId="0">
      <selection activeCell="D34" sqref="D34"/>
    </sheetView>
  </sheetViews>
  <sheetFormatPr defaultRowHeight="15" x14ac:dyDescent="0.25"/>
  <cols>
    <col min="1" max="1" width="49.5703125" customWidth="1"/>
    <col min="2" max="2" width="19.7109375" customWidth="1"/>
    <col min="3" max="4" width="11.28515625" customWidth="1"/>
    <col min="5" max="5" width="18.5703125" bestFit="1" customWidth="1"/>
    <col min="6" max="6" width="18.5703125" customWidth="1"/>
    <col min="7" max="8" width="11.5703125" customWidth="1"/>
    <col min="9" max="10" width="12.140625" customWidth="1"/>
    <col min="11" max="11" width="18.5703125" bestFit="1" customWidth="1"/>
    <col min="12" max="12" width="10.42578125" customWidth="1"/>
    <col min="13" max="14" width="11.140625" customWidth="1"/>
    <col min="15" max="16" width="12.85546875" customWidth="1"/>
    <col min="17" max="17" width="18.5703125" bestFit="1" customWidth="1"/>
    <col min="18" max="18" width="12.7109375" customWidth="1"/>
    <col min="19" max="19" width="11.7109375" bestFit="1" customWidth="1"/>
    <col min="20" max="20" width="11.7109375" customWidth="1"/>
    <col min="23" max="23" width="18.5703125" bestFit="1" customWidth="1"/>
    <col min="29" max="29" width="18.5703125" bestFit="1" customWidth="1"/>
    <col min="30" max="30" width="18.5703125" customWidth="1"/>
    <col min="35" max="35" width="18.5703125" bestFit="1" customWidth="1"/>
    <col min="36" max="37" width="18.5703125" customWidth="1"/>
  </cols>
  <sheetData>
    <row r="1" spans="1:38" x14ac:dyDescent="0.25">
      <c r="A1" t="s">
        <v>93</v>
      </c>
      <c r="B1" s="3">
        <v>1.1000000000000001</v>
      </c>
    </row>
    <row r="2" spans="1:38" ht="26.25" x14ac:dyDescent="0.4">
      <c r="A2" s="193" t="s">
        <v>78</v>
      </c>
      <c r="B2" s="193"/>
      <c r="C2" s="193"/>
      <c r="D2" s="193"/>
      <c r="E2" s="193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  <c r="AK2" s="193"/>
    </row>
    <row r="3" spans="1:38" ht="19.5" thickBot="1" x14ac:dyDescent="0.35">
      <c r="A3" s="103"/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  <c r="AF3" s="103"/>
      <c r="AG3" s="103"/>
      <c r="AH3" s="103"/>
      <c r="AI3" s="103"/>
      <c r="AJ3" s="103"/>
      <c r="AK3" s="103"/>
      <c r="AL3" s="103"/>
    </row>
    <row r="4" spans="1:38" ht="57" thickBot="1" x14ac:dyDescent="0.3">
      <c r="A4" s="110" t="s">
        <v>80</v>
      </c>
      <c r="B4" s="107" t="s">
        <v>79</v>
      </c>
      <c r="C4" s="194" t="s">
        <v>19</v>
      </c>
      <c r="D4" s="195"/>
      <c r="E4" s="195"/>
      <c r="F4" s="195"/>
      <c r="G4" s="195"/>
      <c r="H4" s="196"/>
      <c r="I4" s="188" t="s">
        <v>20</v>
      </c>
      <c r="J4" s="189"/>
      <c r="K4" s="189"/>
      <c r="L4" s="189"/>
      <c r="M4" s="189"/>
      <c r="N4" s="190"/>
      <c r="O4" s="188" t="s">
        <v>21</v>
      </c>
      <c r="P4" s="189"/>
      <c r="Q4" s="189"/>
      <c r="R4" s="189"/>
      <c r="S4" s="189"/>
      <c r="T4" s="190"/>
      <c r="U4" s="188" t="s">
        <v>22</v>
      </c>
      <c r="V4" s="189"/>
      <c r="W4" s="189"/>
      <c r="X4" s="189"/>
      <c r="Y4" s="189"/>
      <c r="Z4" s="190"/>
      <c r="AA4" s="188" t="s">
        <v>57</v>
      </c>
      <c r="AB4" s="189"/>
      <c r="AC4" s="189"/>
      <c r="AD4" s="189"/>
      <c r="AE4" s="189"/>
      <c r="AF4" s="190"/>
      <c r="AG4" s="188" t="s">
        <v>23</v>
      </c>
      <c r="AH4" s="189"/>
      <c r="AI4" s="189"/>
      <c r="AJ4" s="189"/>
      <c r="AK4" s="189"/>
      <c r="AL4" s="190"/>
    </row>
    <row r="5" spans="1:38" ht="20.25" customHeight="1" thickBot="1" x14ac:dyDescent="0.3">
      <c r="A5" s="184"/>
      <c r="B5" s="185"/>
      <c r="C5" s="191" t="s">
        <v>87</v>
      </c>
      <c r="D5" s="192"/>
      <c r="E5" s="191" t="s">
        <v>88</v>
      </c>
      <c r="F5" s="192"/>
      <c r="G5" s="191" t="s">
        <v>89</v>
      </c>
      <c r="H5" s="192"/>
      <c r="I5" s="191" t="s">
        <v>87</v>
      </c>
      <c r="J5" s="192"/>
      <c r="K5" s="191" t="s">
        <v>88</v>
      </c>
      <c r="L5" s="192"/>
      <c r="M5" s="191" t="s">
        <v>89</v>
      </c>
      <c r="N5" s="192"/>
      <c r="O5" s="191" t="s">
        <v>87</v>
      </c>
      <c r="P5" s="192"/>
      <c r="Q5" s="191" t="s">
        <v>88</v>
      </c>
      <c r="R5" s="192"/>
      <c r="S5" s="191" t="s">
        <v>89</v>
      </c>
      <c r="T5" s="192"/>
      <c r="U5" s="191" t="s">
        <v>87</v>
      </c>
      <c r="V5" s="192"/>
      <c r="W5" s="191" t="s">
        <v>88</v>
      </c>
      <c r="X5" s="192"/>
      <c r="Y5" s="191" t="s">
        <v>89</v>
      </c>
      <c r="Z5" s="192"/>
      <c r="AA5" s="191" t="s">
        <v>87</v>
      </c>
      <c r="AB5" s="192"/>
      <c r="AC5" s="191" t="s">
        <v>88</v>
      </c>
      <c r="AD5" s="192"/>
      <c r="AE5" s="191" t="s">
        <v>89</v>
      </c>
      <c r="AF5" s="192"/>
      <c r="AG5" s="191" t="s">
        <v>87</v>
      </c>
      <c r="AH5" s="192"/>
      <c r="AI5" s="191" t="s">
        <v>88</v>
      </c>
      <c r="AJ5" s="192"/>
      <c r="AK5" s="191" t="s">
        <v>89</v>
      </c>
      <c r="AL5" s="192"/>
    </row>
    <row r="6" spans="1:38" ht="25.5" customHeight="1" thickBot="1" x14ac:dyDescent="0.3">
      <c r="A6" s="184"/>
      <c r="B6" s="186"/>
      <c r="C6" s="187" t="s">
        <v>91</v>
      </c>
      <c r="D6" s="187" t="s">
        <v>92</v>
      </c>
      <c r="E6" s="187" t="s">
        <v>91</v>
      </c>
      <c r="F6" s="187" t="s">
        <v>92</v>
      </c>
      <c r="G6" s="187" t="s">
        <v>91</v>
      </c>
      <c r="H6" s="187" t="s">
        <v>92</v>
      </c>
      <c r="I6" s="187" t="s">
        <v>91</v>
      </c>
      <c r="J6" s="187" t="s">
        <v>92</v>
      </c>
      <c r="K6" s="187" t="s">
        <v>91</v>
      </c>
      <c r="L6" s="187" t="s">
        <v>92</v>
      </c>
      <c r="M6" s="187" t="s">
        <v>91</v>
      </c>
      <c r="N6" s="187" t="s">
        <v>92</v>
      </c>
      <c r="O6" s="187" t="s">
        <v>91</v>
      </c>
      <c r="P6" s="187" t="s">
        <v>92</v>
      </c>
      <c r="Q6" s="187" t="s">
        <v>91</v>
      </c>
      <c r="R6" s="187" t="s">
        <v>92</v>
      </c>
      <c r="S6" s="187" t="s">
        <v>91</v>
      </c>
      <c r="T6" s="187" t="s">
        <v>92</v>
      </c>
      <c r="U6" s="187" t="s">
        <v>91</v>
      </c>
      <c r="V6" s="187" t="s">
        <v>92</v>
      </c>
      <c r="W6" s="187" t="s">
        <v>91</v>
      </c>
      <c r="X6" s="187" t="s">
        <v>92</v>
      </c>
      <c r="Y6" s="187" t="s">
        <v>91</v>
      </c>
      <c r="Z6" s="187" t="s">
        <v>92</v>
      </c>
      <c r="AA6" s="187" t="s">
        <v>91</v>
      </c>
      <c r="AB6" s="187" t="s">
        <v>92</v>
      </c>
      <c r="AC6" s="187" t="s">
        <v>91</v>
      </c>
      <c r="AD6" s="187" t="s">
        <v>92</v>
      </c>
      <c r="AE6" s="187" t="s">
        <v>91</v>
      </c>
      <c r="AF6" s="187" t="s">
        <v>92</v>
      </c>
      <c r="AG6" s="187" t="s">
        <v>91</v>
      </c>
      <c r="AH6" s="187" t="s">
        <v>92</v>
      </c>
      <c r="AI6" s="187" t="s">
        <v>91</v>
      </c>
      <c r="AJ6" s="187" t="s">
        <v>92</v>
      </c>
      <c r="AK6" s="187" t="s">
        <v>91</v>
      </c>
      <c r="AL6" s="187" t="s">
        <v>92</v>
      </c>
    </row>
    <row r="7" spans="1:38" ht="19.5" thickBot="1" x14ac:dyDescent="0.3">
      <c r="A7" s="111" t="s">
        <v>5</v>
      </c>
      <c r="B7" s="117">
        <v>50762</v>
      </c>
      <c r="C7" s="153">
        <v>6800</v>
      </c>
      <c r="D7" s="113"/>
      <c r="E7" s="113"/>
      <c r="F7" s="113"/>
      <c r="G7" s="113">
        <v>40000</v>
      </c>
      <c r="H7" s="167"/>
      <c r="I7" s="153">
        <v>8800</v>
      </c>
      <c r="J7" s="57"/>
      <c r="K7" s="57"/>
      <c r="L7" s="57"/>
      <c r="M7" s="57"/>
      <c r="N7" s="104"/>
      <c r="O7" s="153">
        <v>8800</v>
      </c>
      <c r="P7" s="57"/>
      <c r="Q7" s="57"/>
      <c r="R7" s="57"/>
      <c r="S7" s="57"/>
      <c r="T7" s="104"/>
      <c r="U7" s="153">
        <v>8800</v>
      </c>
      <c r="V7" s="57"/>
      <c r="W7" s="57"/>
      <c r="X7" s="57"/>
      <c r="Y7" s="57"/>
      <c r="Z7" s="104"/>
      <c r="AA7" s="153">
        <v>8800</v>
      </c>
      <c r="AB7" s="57"/>
      <c r="AC7" s="57"/>
      <c r="AD7" s="57"/>
      <c r="AE7" s="57"/>
      <c r="AF7" s="104"/>
      <c r="AG7" s="153">
        <v>8762</v>
      </c>
      <c r="AH7" s="57"/>
      <c r="AI7" s="57"/>
      <c r="AJ7" s="57"/>
      <c r="AK7" s="57"/>
      <c r="AL7" s="104"/>
    </row>
    <row r="8" spans="1:38" ht="23.25" customHeight="1" thickBot="1" x14ac:dyDescent="0.3">
      <c r="A8" s="175" t="s">
        <v>6</v>
      </c>
      <c r="B8" s="176">
        <v>36969</v>
      </c>
      <c r="C8" s="177">
        <v>3000</v>
      </c>
      <c r="D8" s="178"/>
      <c r="E8" s="178"/>
      <c r="F8" s="179"/>
      <c r="G8" s="180">
        <v>40000</v>
      </c>
      <c r="H8" s="168"/>
      <c r="I8" s="177">
        <v>6800</v>
      </c>
      <c r="J8" s="179"/>
      <c r="K8" s="179"/>
      <c r="L8" s="179"/>
      <c r="M8" s="179"/>
      <c r="N8" s="181"/>
      <c r="O8" s="177">
        <v>6800</v>
      </c>
      <c r="P8" s="179"/>
      <c r="Q8" s="179"/>
      <c r="R8" s="179"/>
      <c r="S8" s="179"/>
      <c r="T8" s="181"/>
      <c r="U8" s="177">
        <v>6800</v>
      </c>
      <c r="V8" s="179"/>
      <c r="W8" s="179"/>
      <c r="X8" s="179"/>
      <c r="Y8" s="179"/>
      <c r="Z8" s="181"/>
      <c r="AA8" s="177">
        <v>6800</v>
      </c>
      <c r="AB8" s="179"/>
      <c r="AC8" s="179"/>
      <c r="AD8" s="179"/>
      <c r="AE8" s="179"/>
      <c r="AF8" s="181"/>
      <c r="AG8" s="177">
        <v>6769</v>
      </c>
      <c r="AH8" s="179"/>
      <c r="AI8" s="179"/>
      <c r="AJ8" s="179"/>
      <c r="AK8" s="179"/>
      <c r="AL8" s="181"/>
    </row>
    <row r="9" spans="1:38" ht="19.5" thickBot="1" x14ac:dyDescent="0.3">
      <c r="A9" s="144" t="s">
        <v>14</v>
      </c>
      <c r="B9" s="145">
        <f>SUM(B7:B8)</f>
        <v>87731</v>
      </c>
      <c r="C9" s="182">
        <f>C7+C8</f>
        <v>9800</v>
      </c>
      <c r="D9" s="183"/>
      <c r="E9" s="183">
        <f t="shared" ref="E9:AA9" si="0">E7+E8</f>
        <v>0</v>
      </c>
      <c r="F9" s="183"/>
      <c r="G9" s="183">
        <f t="shared" si="0"/>
        <v>80000</v>
      </c>
      <c r="H9" s="171"/>
      <c r="I9" s="182">
        <f t="shared" si="0"/>
        <v>15600</v>
      </c>
      <c r="J9" s="183"/>
      <c r="K9" s="183"/>
      <c r="L9" s="183"/>
      <c r="M9" s="183"/>
      <c r="N9" s="171"/>
      <c r="O9" s="182">
        <f t="shared" si="0"/>
        <v>15600</v>
      </c>
      <c r="P9" s="183"/>
      <c r="Q9" s="183"/>
      <c r="R9" s="183"/>
      <c r="S9" s="183"/>
      <c r="T9" s="171"/>
      <c r="U9" s="182">
        <f t="shared" si="0"/>
        <v>15600</v>
      </c>
      <c r="V9" s="183"/>
      <c r="W9" s="183"/>
      <c r="X9" s="183"/>
      <c r="Y9" s="183"/>
      <c r="Z9" s="171"/>
      <c r="AA9" s="182">
        <f t="shared" si="0"/>
        <v>15600</v>
      </c>
      <c r="AB9" s="183"/>
      <c r="AC9" s="183"/>
      <c r="AD9" s="183"/>
      <c r="AE9" s="183"/>
      <c r="AF9" s="171"/>
      <c r="AG9" s="182">
        <f>AG7+AG8</f>
        <v>15531</v>
      </c>
      <c r="AH9" s="183"/>
      <c r="AI9" s="183"/>
      <c r="AJ9" s="183"/>
      <c r="AK9" s="183"/>
      <c r="AL9" s="171"/>
    </row>
    <row r="10" spans="1:38" ht="18.75" x14ac:dyDescent="0.25">
      <c r="A10" s="111" t="s">
        <v>13</v>
      </c>
      <c r="B10" s="117">
        <v>39200</v>
      </c>
      <c r="C10" s="153">
        <f>4800</f>
        <v>4800</v>
      </c>
      <c r="D10" s="113"/>
      <c r="E10" s="113"/>
      <c r="F10" s="113"/>
      <c r="G10" s="113"/>
      <c r="H10" s="167"/>
      <c r="I10" s="153"/>
      <c r="J10" s="57"/>
      <c r="K10" s="57"/>
      <c r="L10" s="57"/>
      <c r="M10" s="57"/>
      <c r="N10" s="104"/>
      <c r="O10" s="153">
        <v>8550</v>
      </c>
      <c r="P10" s="57"/>
      <c r="Q10" s="57"/>
      <c r="R10" s="57"/>
      <c r="S10" s="57"/>
      <c r="T10" s="104"/>
      <c r="U10" s="153">
        <v>8550</v>
      </c>
      <c r="V10" s="57"/>
      <c r="W10" s="57"/>
      <c r="X10" s="57"/>
      <c r="Y10" s="57"/>
      <c r="Z10" s="104"/>
      <c r="AA10" s="153">
        <v>8650</v>
      </c>
      <c r="AB10" s="57"/>
      <c r="AC10" s="57"/>
      <c r="AD10" s="57"/>
      <c r="AE10" s="57"/>
      <c r="AF10" s="104"/>
      <c r="AG10" s="153">
        <v>8650</v>
      </c>
      <c r="AH10" s="57"/>
      <c r="AI10" s="57"/>
      <c r="AJ10" s="57"/>
      <c r="AK10" s="57"/>
      <c r="AL10" s="104"/>
    </row>
    <row r="11" spans="1:38" s="102" customFormat="1" ht="19.5" thickBot="1" x14ac:dyDescent="0.3">
      <c r="A11" s="112" t="s">
        <v>12</v>
      </c>
      <c r="B11" s="119">
        <v>22800</v>
      </c>
      <c r="C11" s="154">
        <f>3400</f>
        <v>3400</v>
      </c>
      <c r="D11" s="114"/>
      <c r="E11" s="114"/>
      <c r="F11" s="114"/>
      <c r="G11" s="114"/>
      <c r="H11" s="169"/>
      <c r="I11" s="154"/>
      <c r="J11" s="105"/>
      <c r="K11" s="105"/>
      <c r="L11" s="105"/>
      <c r="M11" s="105"/>
      <c r="N11" s="106"/>
      <c r="O11" s="154">
        <v>4775</v>
      </c>
      <c r="P11" s="105"/>
      <c r="Q11" s="105"/>
      <c r="R11" s="105"/>
      <c r="S11" s="105"/>
      <c r="T11" s="106"/>
      <c r="U11" s="154">
        <v>4875</v>
      </c>
      <c r="V11" s="105"/>
      <c r="W11" s="105"/>
      <c r="X11" s="105"/>
      <c r="Y11" s="105"/>
      <c r="Z11" s="106"/>
      <c r="AA11" s="154">
        <v>4875</v>
      </c>
      <c r="AB11" s="105"/>
      <c r="AC11" s="105"/>
      <c r="AD11" s="105"/>
      <c r="AE11" s="105"/>
      <c r="AF11" s="106"/>
      <c r="AG11" s="154">
        <v>4875</v>
      </c>
      <c r="AH11" s="105"/>
      <c r="AI11" s="105"/>
      <c r="AJ11" s="105"/>
      <c r="AK11" s="105"/>
      <c r="AL11" s="106"/>
    </row>
    <row r="12" spans="1:38" ht="19.5" thickBot="1" x14ac:dyDescent="0.3">
      <c r="A12" s="130" t="s">
        <v>14</v>
      </c>
      <c r="B12" s="133">
        <f>SUM(B10:B11)</f>
        <v>62000</v>
      </c>
      <c r="C12" s="155">
        <f>C10+C11</f>
        <v>8200</v>
      </c>
      <c r="D12" s="116"/>
      <c r="E12" s="116">
        <f t="shared" ref="E12:AA12" si="1">E10+E11</f>
        <v>0</v>
      </c>
      <c r="F12" s="116"/>
      <c r="G12" s="116">
        <f t="shared" si="1"/>
        <v>0</v>
      </c>
      <c r="H12" s="156"/>
      <c r="I12" s="155">
        <f t="shared" si="1"/>
        <v>0</v>
      </c>
      <c r="J12" s="116"/>
      <c r="K12" s="116"/>
      <c r="L12" s="116"/>
      <c r="M12" s="116"/>
      <c r="N12" s="156"/>
      <c r="O12" s="155">
        <f t="shared" si="1"/>
        <v>13325</v>
      </c>
      <c r="P12" s="116"/>
      <c r="Q12" s="116"/>
      <c r="R12" s="116"/>
      <c r="S12" s="116"/>
      <c r="T12" s="156"/>
      <c r="U12" s="155">
        <f t="shared" si="1"/>
        <v>13425</v>
      </c>
      <c r="V12" s="116"/>
      <c r="W12" s="116"/>
      <c r="X12" s="116"/>
      <c r="Y12" s="116"/>
      <c r="Z12" s="156"/>
      <c r="AA12" s="155">
        <f t="shared" si="1"/>
        <v>13525</v>
      </c>
      <c r="AB12" s="116"/>
      <c r="AC12" s="116"/>
      <c r="AD12" s="116"/>
      <c r="AE12" s="116"/>
      <c r="AF12" s="156"/>
      <c r="AG12" s="155">
        <f>AG10+AG11</f>
        <v>13525</v>
      </c>
      <c r="AH12" s="116"/>
      <c r="AI12" s="116"/>
      <c r="AJ12" s="116"/>
      <c r="AK12" s="116"/>
      <c r="AL12" s="156"/>
    </row>
    <row r="13" spans="1:38" ht="18.75" x14ac:dyDescent="0.3">
      <c r="A13" s="120" t="s">
        <v>33</v>
      </c>
      <c r="B13" s="127">
        <v>3358</v>
      </c>
      <c r="C13" s="153"/>
      <c r="D13" s="113"/>
      <c r="E13" s="113"/>
      <c r="F13" s="113"/>
      <c r="G13" s="113"/>
      <c r="H13" s="167"/>
      <c r="I13" s="153"/>
      <c r="J13" s="57"/>
      <c r="K13" s="57"/>
      <c r="L13" s="57"/>
      <c r="M13" s="57"/>
      <c r="N13" s="104"/>
      <c r="O13" s="153"/>
      <c r="P13" s="57"/>
      <c r="Q13" s="57"/>
      <c r="R13" s="57"/>
      <c r="S13" s="57"/>
      <c r="T13" s="104"/>
      <c r="U13" s="153">
        <v>1679</v>
      </c>
      <c r="V13" s="57"/>
      <c r="W13" s="57"/>
      <c r="X13" s="57"/>
      <c r="Y13" s="57"/>
      <c r="Z13" s="104"/>
      <c r="AA13" s="153">
        <v>1679</v>
      </c>
      <c r="AB13" s="150"/>
      <c r="AC13" s="150"/>
      <c r="AD13" s="150"/>
      <c r="AE13" s="150"/>
      <c r="AF13" s="104"/>
      <c r="AG13" s="157"/>
      <c r="AH13" s="150"/>
      <c r="AI13" s="150"/>
      <c r="AJ13" s="150"/>
      <c r="AK13" s="150"/>
      <c r="AL13" s="104"/>
    </row>
    <row r="14" spans="1:38" ht="19.5" thickBot="1" x14ac:dyDescent="0.35">
      <c r="A14" s="121" t="s">
        <v>32</v>
      </c>
      <c r="B14" s="128">
        <v>1925</v>
      </c>
      <c r="C14" s="154"/>
      <c r="D14" s="114"/>
      <c r="E14" s="114"/>
      <c r="F14" s="114"/>
      <c r="G14" s="114"/>
      <c r="H14" s="169"/>
      <c r="I14" s="154">
        <v>1925</v>
      </c>
      <c r="J14" s="105"/>
      <c r="K14" s="105"/>
      <c r="L14" s="105"/>
      <c r="M14" s="105"/>
      <c r="N14" s="106"/>
      <c r="O14" s="154"/>
      <c r="P14" s="105"/>
      <c r="Q14" s="105"/>
      <c r="R14" s="105"/>
      <c r="S14" s="105"/>
      <c r="T14" s="106"/>
      <c r="U14" s="154"/>
      <c r="V14" s="105"/>
      <c r="W14" s="105"/>
      <c r="X14" s="105"/>
      <c r="Y14" s="105"/>
      <c r="Z14" s="106"/>
      <c r="AA14" s="154"/>
      <c r="AB14" s="151"/>
      <c r="AC14" s="151"/>
      <c r="AD14" s="151"/>
      <c r="AE14" s="151"/>
      <c r="AF14" s="106"/>
      <c r="AG14" s="158"/>
      <c r="AH14" s="151"/>
      <c r="AI14" s="151"/>
      <c r="AJ14" s="151"/>
      <c r="AK14" s="151"/>
      <c r="AL14" s="106"/>
    </row>
    <row r="15" spans="1:38" ht="19.5" thickBot="1" x14ac:dyDescent="0.3">
      <c r="A15" s="144" t="s">
        <v>14</v>
      </c>
      <c r="B15" s="145">
        <f>B13+B14</f>
        <v>5283</v>
      </c>
      <c r="C15" s="170"/>
      <c r="D15" s="146"/>
      <c r="E15" s="146"/>
      <c r="F15" s="146"/>
      <c r="G15" s="146"/>
      <c r="H15" s="171"/>
      <c r="I15" s="147">
        <f>I14</f>
        <v>1925</v>
      </c>
      <c r="J15" s="147"/>
      <c r="K15" s="147"/>
      <c r="L15" s="147"/>
      <c r="M15" s="147"/>
      <c r="N15" s="147"/>
      <c r="O15" s="147"/>
      <c r="P15" s="147"/>
      <c r="Q15" s="147"/>
      <c r="R15" s="147"/>
      <c r="S15" s="147"/>
      <c r="T15" s="147"/>
      <c r="U15" s="147">
        <f>U13</f>
        <v>1679</v>
      </c>
      <c r="V15" s="147"/>
      <c r="W15" s="147"/>
      <c r="X15" s="147"/>
      <c r="Y15" s="147"/>
      <c r="Z15" s="147"/>
      <c r="AA15" s="147">
        <f>AA13</f>
        <v>1679</v>
      </c>
      <c r="AB15" s="147"/>
      <c r="AC15" s="147"/>
      <c r="AD15" s="147"/>
      <c r="AE15" s="147"/>
      <c r="AF15" s="147"/>
      <c r="AG15" s="148"/>
      <c r="AH15" s="148"/>
      <c r="AI15" s="147"/>
      <c r="AJ15" s="147"/>
      <c r="AK15" s="147"/>
      <c r="AL15" s="147"/>
    </row>
    <row r="16" spans="1:38" ht="19.5" thickBot="1" x14ac:dyDescent="0.35">
      <c r="A16" s="139" t="s">
        <v>14</v>
      </c>
      <c r="B16" s="140">
        <f>B9+B12+B15</f>
        <v>155014</v>
      </c>
      <c r="C16" s="165">
        <f>C9+C12</f>
        <v>18000</v>
      </c>
      <c r="D16" s="141"/>
      <c r="E16" s="141"/>
      <c r="F16" s="141"/>
      <c r="G16" s="141"/>
      <c r="H16" s="172"/>
      <c r="I16" s="165">
        <f>I9+I15</f>
        <v>17525</v>
      </c>
      <c r="J16" s="142"/>
      <c r="K16" s="142"/>
      <c r="L16" s="142"/>
      <c r="M16" s="142"/>
      <c r="N16" s="143"/>
      <c r="O16" s="165">
        <f>O9+O12</f>
        <v>28925</v>
      </c>
      <c r="P16" s="142"/>
      <c r="Q16" s="142"/>
      <c r="R16" s="142"/>
      <c r="S16" s="142"/>
      <c r="T16" s="143"/>
      <c r="U16" s="165">
        <f>U9+U12+U15</f>
        <v>30704</v>
      </c>
      <c r="V16" s="142"/>
      <c r="W16" s="142"/>
      <c r="X16" s="142"/>
      <c r="Y16" s="142"/>
      <c r="Z16" s="143"/>
      <c r="AA16" s="165">
        <f>AA9+AA12+AA15</f>
        <v>30804</v>
      </c>
      <c r="AB16" s="152"/>
      <c r="AC16" s="152"/>
      <c r="AD16" s="152"/>
      <c r="AE16" s="152"/>
      <c r="AF16" s="143"/>
      <c r="AG16" s="159">
        <f>AG9+AG12</f>
        <v>29056</v>
      </c>
      <c r="AH16" s="152"/>
      <c r="AI16" s="152"/>
      <c r="AJ16" s="152"/>
      <c r="AK16" s="152"/>
      <c r="AL16" s="143"/>
    </row>
    <row r="17" spans="1:38" ht="19.5" thickBot="1" x14ac:dyDescent="0.3">
      <c r="A17" s="111" t="s">
        <v>15</v>
      </c>
      <c r="B17" s="117">
        <v>453</v>
      </c>
      <c r="C17" s="153">
        <f>180+218</f>
        <v>398</v>
      </c>
      <c r="D17" s="113"/>
      <c r="E17" s="113"/>
      <c r="F17" s="113"/>
      <c r="G17" s="113"/>
      <c r="H17" s="167"/>
      <c r="I17" s="153">
        <v>55</v>
      </c>
      <c r="J17" s="57"/>
      <c r="K17" s="57"/>
      <c r="L17" s="57"/>
      <c r="M17" s="57"/>
      <c r="N17" s="104"/>
      <c r="O17" s="153"/>
      <c r="P17" s="57"/>
      <c r="Q17" s="57"/>
      <c r="R17" s="57"/>
      <c r="S17" s="57"/>
      <c r="T17" s="104"/>
      <c r="U17" s="153"/>
      <c r="V17" s="57"/>
      <c r="W17" s="57"/>
      <c r="X17" s="57"/>
      <c r="Y17" s="57"/>
      <c r="Z17" s="104"/>
      <c r="AA17" s="153"/>
      <c r="AB17" s="150"/>
      <c r="AC17" s="150"/>
      <c r="AD17" s="150"/>
      <c r="AE17" s="150"/>
      <c r="AF17" s="104"/>
      <c r="AG17" s="157"/>
      <c r="AH17" s="150"/>
      <c r="AI17" s="150"/>
      <c r="AJ17" s="150"/>
      <c r="AK17" s="150"/>
      <c r="AL17" s="104"/>
    </row>
    <row r="18" spans="1:38" ht="18.75" x14ac:dyDescent="0.25">
      <c r="A18" s="134" t="s">
        <v>82</v>
      </c>
      <c r="B18" s="135">
        <v>602</v>
      </c>
      <c r="C18" s="166">
        <v>225</v>
      </c>
      <c r="D18" s="136"/>
      <c r="E18" s="136"/>
      <c r="F18" s="136"/>
      <c r="G18" s="136"/>
      <c r="H18" s="173"/>
      <c r="I18" s="166">
        <v>138</v>
      </c>
      <c r="J18" s="137"/>
      <c r="K18" s="137"/>
      <c r="L18" s="137"/>
      <c r="M18" s="137"/>
      <c r="N18" s="138"/>
      <c r="O18" s="166"/>
      <c r="P18" s="137"/>
      <c r="Q18" s="137"/>
      <c r="R18" s="137"/>
      <c r="S18" s="137"/>
      <c r="T18" s="138"/>
      <c r="U18" s="166">
        <v>120</v>
      </c>
      <c r="V18" s="137"/>
      <c r="W18" s="137"/>
      <c r="X18" s="137"/>
      <c r="Y18" s="137"/>
      <c r="Z18" s="138"/>
      <c r="AA18" s="166">
        <v>119</v>
      </c>
      <c r="AB18" s="97"/>
      <c r="AC18" s="97"/>
      <c r="AD18" s="97"/>
      <c r="AE18" s="97"/>
      <c r="AF18" s="138"/>
      <c r="AG18" s="160"/>
      <c r="AH18" s="97"/>
      <c r="AI18" s="97"/>
      <c r="AJ18" s="97"/>
      <c r="AK18" s="97"/>
      <c r="AL18" s="138"/>
    </row>
    <row r="19" spans="1:38" ht="18.75" x14ac:dyDescent="0.25">
      <c r="A19" s="149" t="s">
        <v>90</v>
      </c>
      <c r="B19" s="135"/>
      <c r="C19" s="166"/>
      <c r="D19" s="136"/>
      <c r="E19" s="136">
        <v>10</v>
      </c>
      <c r="F19" s="136"/>
      <c r="G19" s="136"/>
      <c r="H19" s="173"/>
      <c r="I19" s="166"/>
      <c r="J19" s="137"/>
      <c r="K19" s="137"/>
      <c r="L19" s="137"/>
      <c r="M19" s="137"/>
      <c r="N19" s="138"/>
      <c r="O19" s="166"/>
      <c r="P19" s="137"/>
      <c r="Q19" s="137"/>
      <c r="R19" s="137"/>
      <c r="S19" s="137"/>
      <c r="T19" s="138"/>
      <c r="U19" s="166"/>
      <c r="V19" s="137"/>
      <c r="W19" s="137"/>
      <c r="X19" s="137"/>
      <c r="Y19" s="137"/>
      <c r="Z19" s="138"/>
      <c r="AA19" s="166"/>
      <c r="AB19" s="97"/>
      <c r="AC19" s="97"/>
      <c r="AD19" s="97"/>
      <c r="AE19" s="97"/>
      <c r="AF19" s="138"/>
      <c r="AG19" s="160"/>
      <c r="AH19" s="97"/>
      <c r="AI19" s="97"/>
      <c r="AJ19" s="97"/>
      <c r="AK19" s="97"/>
      <c r="AL19" s="138"/>
    </row>
    <row r="20" spans="1:38" ht="19.5" thickBot="1" x14ac:dyDescent="0.3">
      <c r="A20" s="112" t="s">
        <v>10</v>
      </c>
      <c r="B20" s="129">
        <v>2570</v>
      </c>
      <c r="C20" s="154"/>
      <c r="D20" s="114"/>
      <c r="E20" s="114"/>
      <c r="F20" s="114"/>
      <c r="G20" s="114"/>
      <c r="H20" s="169"/>
      <c r="I20" s="154">
        <v>250</v>
      </c>
      <c r="J20" s="105"/>
      <c r="K20" s="105"/>
      <c r="L20" s="105"/>
      <c r="M20" s="105"/>
      <c r="N20" s="106"/>
      <c r="O20" s="154">
        <v>642</v>
      </c>
      <c r="P20" s="105"/>
      <c r="Q20" s="105"/>
      <c r="R20" s="105"/>
      <c r="S20" s="105"/>
      <c r="T20" s="106"/>
      <c r="U20" s="154">
        <v>642</v>
      </c>
      <c r="V20" s="105"/>
      <c r="W20" s="105"/>
      <c r="X20" s="105"/>
      <c r="Y20" s="105"/>
      <c r="Z20" s="106"/>
      <c r="AA20" s="154">
        <v>642</v>
      </c>
      <c r="AB20" s="151"/>
      <c r="AC20" s="151"/>
      <c r="AD20" s="151"/>
      <c r="AE20" s="151"/>
      <c r="AF20" s="106"/>
      <c r="AG20" s="158">
        <f>642-248</f>
        <v>394</v>
      </c>
      <c r="AH20" s="151"/>
      <c r="AI20" s="151"/>
      <c r="AJ20" s="151"/>
      <c r="AK20" s="151"/>
      <c r="AL20" s="106"/>
    </row>
    <row r="21" spans="1:38" ht="19.5" thickBot="1" x14ac:dyDescent="0.35">
      <c r="A21" s="131" t="s">
        <v>14</v>
      </c>
      <c r="B21" s="122">
        <f>SUM(B17:B20)</f>
        <v>3625</v>
      </c>
      <c r="C21" s="161">
        <f>SUM(C17:C20)</f>
        <v>623</v>
      </c>
      <c r="D21" s="123"/>
      <c r="E21" s="123"/>
      <c r="F21" s="123"/>
      <c r="G21" s="123"/>
      <c r="H21" s="162"/>
      <c r="I21" s="161">
        <f>SUM(I17:I20)</f>
        <v>443</v>
      </c>
      <c r="J21" s="123"/>
      <c r="K21" s="123"/>
      <c r="L21" s="123"/>
      <c r="M21" s="123"/>
      <c r="N21" s="162"/>
      <c r="O21" s="161">
        <f>SUM(O17:O20)</f>
        <v>642</v>
      </c>
      <c r="P21" s="123"/>
      <c r="Q21" s="123"/>
      <c r="R21" s="123"/>
      <c r="S21" s="123"/>
      <c r="T21" s="162"/>
      <c r="U21" s="161">
        <f>SUM(U17:U20)</f>
        <v>762</v>
      </c>
      <c r="V21" s="123"/>
      <c r="W21" s="123"/>
      <c r="X21" s="123"/>
      <c r="Y21" s="123"/>
      <c r="Z21" s="162"/>
      <c r="AA21" s="161">
        <f>SUM(AA17:AA20)</f>
        <v>761</v>
      </c>
      <c r="AB21" s="123"/>
      <c r="AC21" s="123"/>
      <c r="AD21" s="123"/>
      <c r="AE21" s="123"/>
      <c r="AF21" s="162"/>
      <c r="AG21" s="161">
        <f>SUM(AG17:AG20)</f>
        <v>394</v>
      </c>
      <c r="AH21" s="123"/>
      <c r="AI21" s="123"/>
      <c r="AJ21" s="123"/>
      <c r="AK21" s="123"/>
      <c r="AL21" s="162"/>
    </row>
    <row r="22" spans="1:38" ht="18.75" x14ac:dyDescent="0.25">
      <c r="A22" s="125" t="s">
        <v>11</v>
      </c>
      <c r="B22" s="117">
        <v>1000</v>
      </c>
      <c r="C22" s="153">
        <v>736</v>
      </c>
      <c r="D22" s="113"/>
      <c r="E22" s="113"/>
      <c r="F22" s="113"/>
      <c r="G22" s="113"/>
      <c r="H22" s="167"/>
      <c r="I22" s="153">
        <v>264</v>
      </c>
      <c r="J22" s="57"/>
      <c r="K22" s="57"/>
      <c r="L22" s="57"/>
      <c r="M22" s="57"/>
      <c r="N22" s="104"/>
      <c r="O22" s="153"/>
      <c r="P22" s="57"/>
      <c r="Q22" s="57"/>
      <c r="R22" s="57"/>
      <c r="S22" s="57"/>
      <c r="T22" s="104"/>
      <c r="U22" s="153"/>
      <c r="V22" s="57"/>
      <c r="W22" s="57"/>
      <c r="X22" s="57"/>
      <c r="Y22" s="57"/>
      <c r="Z22" s="104"/>
      <c r="AA22" s="153"/>
      <c r="AB22" s="150"/>
      <c r="AC22" s="150"/>
      <c r="AD22" s="150"/>
      <c r="AE22" s="150"/>
      <c r="AF22" s="104"/>
      <c r="AG22" s="157"/>
      <c r="AH22" s="150"/>
      <c r="AI22" s="150"/>
      <c r="AJ22" s="150"/>
      <c r="AK22" s="150"/>
      <c r="AL22" s="104"/>
    </row>
    <row r="23" spans="1:38" ht="19.5" thickBot="1" x14ac:dyDescent="0.3">
      <c r="A23" s="126" t="s">
        <v>81</v>
      </c>
      <c r="B23" s="118">
        <v>4167</v>
      </c>
      <c r="C23" s="154"/>
      <c r="D23" s="114"/>
      <c r="E23" s="114">
        <v>7</v>
      </c>
      <c r="F23" s="114"/>
      <c r="G23" s="114"/>
      <c r="H23" s="169"/>
      <c r="I23" s="154">
        <v>850</v>
      </c>
      <c r="J23" s="105"/>
      <c r="K23" s="105"/>
      <c r="L23" s="105"/>
      <c r="M23" s="105"/>
      <c r="N23" s="106"/>
      <c r="O23" s="154">
        <v>850</v>
      </c>
      <c r="P23" s="105"/>
      <c r="Q23" s="105"/>
      <c r="R23" s="105"/>
      <c r="S23" s="105"/>
      <c r="T23" s="106"/>
      <c r="U23" s="154">
        <v>850</v>
      </c>
      <c r="V23" s="105"/>
      <c r="W23" s="105"/>
      <c r="X23" s="105"/>
      <c r="Y23" s="105"/>
      <c r="Z23" s="106"/>
      <c r="AA23" s="154">
        <v>850</v>
      </c>
      <c r="AB23" s="151"/>
      <c r="AC23" s="151"/>
      <c r="AD23" s="151"/>
      <c r="AE23" s="151"/>
      <c r="AF23" s="106"/>
      <c r="AG23" s="158">
        <f>850-83</f>
        <v>767</v>
      </c>
      <c r="AH23" s="151"/>
      <c r="AI23" s="151"/>
      <c r="AJ23" s="151"/>
      <c r="AK23" s="151"/>
      <c r="AL23" s="106"/>
    </row>
    <row r="24" spans="1:38" ht="19.5" thickBot="1" x14ac:dyDescent="0.35">
      <c r="A24" s="132" t="s">
        <v>14</v>
      </c>
      <c r="B24" s="124">
        <f>SUM(B22:B23)</f>
        <v>5167</v>
      </c>
      <c r="C24" s="163">
        <f>C22</f>
        <v>736</v>
      </c>
      <c r="D24" s="115"/>
      <c r="E24" s="115"/>
      <c r="F24" s="115"/>
      <c r="G24" s="115"/>
      <c r="H24" s="174"/>
      <c r="I24" s="163">
        <f>I22+I23</f>
        <v>1114</v>
      </c>
      <c r="J24" s="108"/>
      <c r="K24" s="108"/>
      <c r="L24" s="108"/>
      <c r="M24" s="108"/>
      <c r="N24" s="164"/>
      <c r="O24" s="163">
        <f t="shared" ref="O24:AA24" si="2">O22+O23</f>
        <v>850</v>
      </c>
      <c r="P24" s="108"/>
      <c r="Q24" s="108"/>
      <c r="R24" s="108"/>
      <c r="S24" s="108"/>
      <c r="T24" s="164"/>
      <c r="U24" s="163">
        <f t="shared" si="2"/>
        <v>850</v>
      </c>
      <c r="V24" s="108"/>
      <c r="W24" s="108"/>
      <c r="X24" s="108"/>
      <c r="Y24" s="108"/>
      <c r="Z24" s="164"/>
      <c r="AA24" s="163">
        <f t="shared" si="2"/>
        <v>850</v>
      </c>
      <c r="AB24" s="108"/>
      <c r="AC24" s="108"/>
      <c r="AD24" s="108"/>
      <c r="AE24" s="108"/>
      <c r="AF24" s="164"/>
      <c r="AG24" s="163">
        <f>AG22+AG23</f>
        <v>767</v>
      </c>
      <c r="AH24" s="108"/>
      <c r="AI24" s="108"/>
      <c r="AJ24" s="108"/>
      <c r="AK24" s="108"/>
      <c r="AL24" s="164"/>
    </row>
    <row r="25" spans="1:38" x14ac:dyDescent="0.25">
      <c r="A25" s="109" t="s">
        <v>40</v>
      </c>
      <c r="B25" s="68"/>
      <c r="C25" s="102"/>
      <c r="D25" s="102"/>
      <c r="E25" s="102"/>
      <c r="F25" s="102"/>
      <c r="G25" s="102"/>
      <c r="H25" s="102"/>
      <c r="I25" s="109" t="s">
        <v>83</v>
      </c>
      <c r="J25" s="109"/>
      <c r="K25" s="109"/>
      <c r="L25" s="109"/>
      <c r="M25" s="109"/>
      <c r="N25" s="109"/>
      <c r="O25" s="109"/>
      <c r="P25" s="109"/>
      <c r="Q25" s="109"/>
      <c r="R25" s="109"/>
      <c r="S25" s="109"/>
      <c r="T25" s="109"/>
      <c r="U25" s="102"/>
      <c r="V25" s="102"/>
      <c r="W25" s="102"/>
      <c r="X25" s="102"/>
      <c r="Y25" s="102"/>
      <c r="Z25" s="102"/>
      <c r="AA25" s="102"/>
      <c r="AB25" s="102"/>
      <c r="AC25" s="102"/>
      <c r="AD25" s="102"/>
      <c r="AE25" s="102"/>
      <c r="AF25" s="102"/>
      <c r="AG25" s="102"/>
      <c r="AH25" s="102"/>
      <c r="AI25" s="102"/>
      <c r="AJ25" s="102"/>
      <c r="AK25" s="102"/>
      <c r="AL25" s="102"/>
    </row>
    <row r="26" spans="1:38" x14ac:dyDescent="0.25">
      <c r="C26" s="102"/>
      <c r="D26" s="102"/>
      <c r="E26" s="102"/>
      <c r="F26" s="102"/>
      <c r="G26" s="102"/>
      <c r="H26" s="102"/>
      <c r="I26" s="109"/>
      <c r="J26" s="109"/>
      <c r="K26" s="109"/>
      <c r="L26" s="109"/>
      <c r="M26" s="109"/>
      <c r="N26" s="109"/>
      <c r="O26" s="109"/>
      <c r="P26" s="109"/>
      <c r="Q26" s="109"/>
      <c r="R26" s="109"/>
      <c r="S26" s="109"/>
      <c r="T26" s="109"/>
      <c r="U26" s="102"/>
      <c r="V26" s="102"/>
      <c r="W26" s="102"/>
      <c r="X26" s="102"/>
      <c r="Y26" s="102"/>
      <c r="Z26" s="102"/>
      <c r="AA26" s="102"/>
      <c r="AB26" s="102"/>
      <c r="AC26" s="102"/>
      <c r="AD26" s="102"/>
      <c r="AE26" s="102"/>
      <c r="AF26" s="102"/>
      <c r="AG26" s="102"/>
      <c r="AH26" s="102"/>
      <c r="AI26" s="102"/>
      <c r="AJ26" s="102"/>
      <c r="AK26" s="102"/>
      <c r="AL26" s="102"/>
    </row>
    <row r="27" spans="1:38" x14ac:dyDescent="0.25">
      <c r="A27" s="1" t="s">
        <v>41</v>
      </c>
      <c r="B27" s="68"/>
      <c r="C27" s="102"/>
      <c r="D27" s="102"/>
      <c r="E27" s="102"/>
      <c r="F27" s="102"/>
      <c r="G27" s="102"/>
      <c r="H27" s="102"/>
      <c r="I27" s="109" t="s">
        <v>84</v>
      </c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2"/>
      <c r="V27" s="102"/>
      <c r="W27" s="102"/>
      <c r="X27" s="102"/>
      <c r="Y27" s="102"/>
      <c r="Z27" s="102"/>
      <c r="AA27" s="102"/>
      <c r="AB27" s="102"/>
      <c r="AC27" s="102"/>
      <c r="AD27" s="102"/>
      <c r="AE27" s="102"/>
      <c r="AF27" s="102"/>
      <c r="AG27" s="102"/>
      <c r="AH27" s="102"/>
      <c r="AI27" s="102"/>
      <c r="AJ27" s="102"/>
      <c r="AK27" s="102"/>
      <c r="AL27" s="102"/>
    </row>
    <row r="28" spans="1:38" x14ac:dyDescent="0.25">
      <c r="C28" s="102"/>
      <c r="D28" s="102"/>
      <c r="E28" s="102"/>
      <c r="F28" s="102"/>
      <c r="G28" s="102"/>
      <c r="H28" s="102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02"/>
      <c r="V28" s="102"/>
      <c r="W28" s="102"/>
      <c r="X28" s="102"/>
      <c r="Y28" s="102"/>
      <c r="Z28" s="102"/>
      <c r="AA28" s="102"/>
      <c r="AB28" s="102"/>
      <c r="AC28" s="102"/>
      <c r="AD28" s="102"/>
      <c r="AE28" s="102"/>
      <c r="AF28" s="102"/>
      <c r="AG28" s="102"/>
      <c r="AH28" s="102"/>
      <c r="AI28" s="102"/>
      <c r="AJ28" s="102"/>
      <c r="AK28" s="102"/>
      <c r="AL28" s="102"/>
    </row>
    <row r="29" spans="1:38" x14ac:dyDescent="0.25">
      <c r="A29" s="1" t="s">
        <v>35</v>
      </c>
      <c r="B29" s="68"/>
      <c r="C29" s="102"/>
      <c r="D29" s="102"/>
      <c r="E29" s="102"/>
      <c r="F29" s="102"/>
      <c r="G29" s="102"/>
      <c r="H29" s="102"/>
      <c r="I29" s="109" t="s">
        <v>85</v>
      </c>
      <c r="J29" s="109"/>
      <c r="K29" s="109"/>
      <c r="L29" s="109"/>
      <c r="M29" s="109"/>
      <c r="N29" s="109"/>
      <c r="O29" s="109"/>
      <c r="P29" s="109"/>
      <c r="Q29" s="109"/>
      <c r="R29" s="109"/>
      <c r="S29" s="109"/>
      <c r="T29" s="109"/>
      <c r="U29" s="102"/>
      <c r="V29" s="102"/>
      <c r="W29" s="102"/>
      <c r="X29" s="102"/>
      <c r="Y29" s="102"/>
      <c r="Z29" s="102"/>
      <c r="AA29" s="102"/>
      <c r="AB29" s="102"/>
      <c r="AC29" s="102"/>
      <c r="AD29" s="102"/>
      <c r="AE29" s="102"/>
      <c r="AF29" s="102"/>
      <c r="AG29" s="102"/>
      <c r="AH29" s="102"/>
      <c r="AI29" s="102"/>
      <c r="AJ29" s="102"/>
      <c r="AK29" s="102"/>
      <c r="AL29" s="102"/>
    </row>
    <row r="30" spans="1:38" x14ac:dyDescent="0.25">
      <c r="C30" s="102"/>
      <c r="D30" s="102"/>
      <c r="E30" s="102"/>
      <c r="F30" s="102"/>
      <c r="G30" s="102"/>
      <c r="H30" s="102"/>
      <c r="I30" s="109"/>
      <c r="J30" s="109"/>
      <c r="K30" s="109"/>
      <c r="L30" s="109"/>
      <c r="M30" s="109"/>
      <c r="N30" s="109"/>
      <c r="O30" s="109"/>
      <c r="P30" s="109"/>
      <c r="Q30" s="109"/>
      <c r="R30" s="109"/>
      <c r="S30" s="109"/>
      <c r="T30" s="109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2"/>
      <c r="AF30" s="102"/>
      <c r="AG30" s="102"/>
      <c r="AH30" s="102"/>
      <c r="AI30" s="102"/>
      <c r="AJ30" s="102"/>
      <c r="AK30" s="102"/>
      <c r="AL30" s="102"/>
    </row>
    <row r="31" spans="1:38" x14ac:dyDescent="0.25">
      <c r="A31" s="1" t="s">
        <v>37</v>
      </c>
      <c r="B31" s="68"/>
      <c r="C31" s="102"/>
      <c r="D31" s="102"/>
      <c r="E31" s="102"/>
      <c r="F31" s="102"/>
      <c r="G31" s="102"/>
      <c r="H31" s="102"/>
      <c r="I31" s="109" t="s">
        <v>86</v>
      </c>
      <c r="J31" s="109"/>
      <c r="K31" s="109"/>
      <c r="L31" s="109"/>
      <c r="M31" s="109"/>
      <c r="N31" s="109"/>
      <c r="O31" s="109"/>
      <c r="P31" s="109"/>
      <c r="Q31" s="109"/>
      <c r="R31" s="109"/>
      <c r="S31" s="109"/>
      <c r="T31" s="109"/>
      <c r="U31" s="102"/>
      <c r="V31" s="102"/>
      <c r="W31" s="102"/>
      <c r="X31" s="102"/>
      <c r="Y31" s="102"/>
      <c r="Z31" s="102"/>
      <c r="AA31" s="102"/>
      <c r="AB31" s="102"/>
      <c r="AC31" s="102"/>
      <c r="AD31" s="102"/>
      <c r="AE31" s="102"/>
      <c r="AF31" s="102"/>
      <c r="AG31" s="102"/>
      <c r="AH31" s="102"/>
      <c r="AI31" s="102"/>
      <c r="AJ31" s="102"/>
      <c r="AK31" s="102"/>
      <c r="AL31" s="102"/>
    </row>
    <row r="32" spans="1:38" x14ac:dyDescent="0.25">
      <c r="O32" s="1"/>
      <c r="P32" s="1"/>
      <c r="Q32" s="1"/>
      <c r="R32" s="1"/>
      <c r="S32" s="1"/>
      <c r="T32" s="1"/>
    </row>
  </sheetData>
  <mergeCells count="25">
    <mergeCell ref="A2:AK2"/>
    <mergeCell ref="AA5:AB5"/>
    <mergeCell ref="Y5:Z5"/>
    <mergeCell ref="W5:X5"/>
    <mergeCell ref="U5:V5"/>
    <mergeCell ref="S5:T5"/>
    <mergeCell ref="AG5:AH5"/>
    <mergeCell ref="AI5:AJ5"/>
    <mergeCell ref="AK5:AL5"/>
    <mergeCell ref="AE5:AF5"/>
    <mergeCell ref="AC5:AD5"/>
    <mergeCell ref="C5:D5"/>
    <mergeCell ref="E5:F5"/>
    <mergeCell ref="C4:H4"/>
    <mergeCell ref="AG4:AL4"/>
    <mergeCell ref="O4:T4"/>
    <mergeCell ref="U4:Z4"/>
    <mergeCell ref="AA4:AF4"/>
    <mergeCell ref="G5:H5"/>
    <mergeCell ref="I4:N4"/>
    <mergeCell ref="I5:J5"/>
    <mergeCell ref="K5:L5"/>
    <mergeCell ref="M5:N5"/>
    <mergeCell ref="Q5:R5"/>
    <mergeCell ref="O5:P5"/>
  </mergeCells>
  <pageMargins left="0.7" right="0.7" top="0.75" bottom="0.75" header="0.3" footer="0.3"/>
  <pageSetup paperSize="9" scale="87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S27"/>
  <sheetViews>
    <sheetView workbookViewId="0">
      <selection activeCell="I38" sqref="I38"/>
    </sheetView>
  </sheetViews>
  <sheetFormatPr defaultRowHeight="15" x14ac:dyDescent="0.25"/>
  <cols>
    <col min="1" max="1" width="43.28515625" customWidth="1"/>
    <col min="2" max="3" width="11.5703125" customWidth="1"/>
    <col min="4" max="4" width="12.7109375" customWidth="1"/>
    <col min="5" max="5" width="15.42578125" customWidth="1"/>
    <col min="6" max="6" width="13.5703125" bestFit="1" customWidth="1"/>
    <col min="7" max="7" width="14.140625" style="1" customWidth="1"/>
    <col min="8" max="8" width="8.140625" style="2" customWidth="1"/>
    <col min="9" max="11" width="9.85546875" bestFit="1" customWidth="1"/>
    <col min="12" max="12" width="11.5703125" customWidth="1"/>
    <col min="13" max="13" width="10.140625" customWidth="1"/>
    <col min="14" max="14" width="10.42578125" customWidth="1"/>
    <col min="15" max="15" width="11.140625" customWidth="1"/>
    <col min="16" max="16" width="13.85546875" customWidth="1"/>
    <col min="17" max="17" width="18.42578125" customWidth="1"/>
    <col min="18" max="18" width="12.7109375" customWidth="1"/>
    <col min="19" max="19" width="11.7109375" bestFit="1" customWidth="1"/>
  </cols>
  <sheetData>
    <row r="1" spans="1:18" x14ac:dyDescent="0.25">
      <c r="B1" s="3"/>
      <c r="C1" s="3"/>
      <c r="D1" s="3"/>
      <c r="E1" s="3"/>
      <c r="F1" s="3"/>
    </row>
    <row r="2" spans="1:18" ht="18.75" x14ac:dyDescent="0.3">
      <c r="A2" s="199" t="s">
        <v>77</v>
      </c>
      <c r="B2" s="199"/>
      <c r="C2" s="199"/>
      <c r="D2" s="199"/>
      <c r="E2" s="199"/>
      <c r="F2" s="199"/>
      <c r="G2" s="199"/>
      <c r="H2" s="17"/>
      <c r="I2" s="18"/>
      <c r="J2" s="18"/>
      <c r="K2" s="18"/>
      <c r="L2" s="18"/>
      <c r="M2" s="18"/>
      <c r="N2" s="18"/>
      <c r="O2" s="18"/>
      <c r="P2" s="18"/>
    </row>
    <row r="3" spans="1:18" ht="15" customHeight="1" thickBot="1" x14ac:dyDescent="0.35">
      <c r="A3" s="200"/>
      <c r="B3" s="200"/>
      <c r="C3" s="200"/>
      <c r="D3" s="200"/>
      <c r="E3" s="200"/>
      <c r="F3" s="200"/>
      <c r="G3" s="200"/>
      <c r="H3" s="201" t="s">
        <v>16</v>
      </c>
      <c r="I3" s="201"/>
      <c r="J3" s="201"/>
      <c r="K3" s="201"/>
      <c r="L3" s="201"/>
      <c r="M3" s="201"/>
      <c r="N3" s="201"/>
      <c r="O3" s="201"/>
      <c r="P3" s="18"/>
    </row>
    <row r="4" spans="1:18" ht="132" thickBot="1" x14ac:dyDescent="0.3">
      <c r="A4" s="19" t="s">
        <v>0</v>
      </c>
      <c r="B4" s="20" t="s">
        <v>1</v>
      </c>
      <c r="C4" s="20"/>
      <c r="D4" s="20" t="s">
        <v>2</v>
      </c>
      <c r="E4" s="20" t="s">
        <v>3</v>
      </c>
      <c r="F4" s="21" t="s">
        <v>31</v>
      </c>
      <c r="G4" s="21" t="s">
        <v>4</v>
      </c>
      <c r="H4" s="98" t="s">
        <v>17</v>
      </c>
      <c r="I4" s="98" t="s">
        <v>18</v>
      </c>
      <c r="J4" s="98" t="s">
        <v>19</v>
      </c>
      <c r="K4" s="98" t="s">
        <v>20</v>
      </c>
      <c r="L4" s="98" t="s">
        <v>21</v>
      </c>
      <c r="M4" s="98" t="s">
        <v>22</v>
      </c>
      <c r="N4" s="98" t="s">
        <v>57</v>
      </c>
      <c r="O4" s="98" t="s">
        <v>23</v>
      </c>
      <c r="P4" s="98" t="s">
        <v>24</v>
      </c>
    </row>
    <row r="5" spans="1:18" ht="19.5" thickBot="1" x14ac:dyDescent="0.35">
      <c r="A5" s="22" t="s">
        <v>5</v>
      </c>
      <c r="B5" s="23">
        <v>47000</v>
      </c>
      <c r="C5" s="89">
        <v>9800</v>
      </c>
      <c r="D5" s="57">
        <v>476</v>
      </c>
      <c r="E5" s="57">
        <v>2247</v>
      </c>
      <c r="F5" s="53"/>
      <c r="G5" s="95">
        <f>B5-D5-E5+C5</f>
        <v>54077</v>
      </c>
      <c r="H5" s="101">
        <v>1710</v>
      </c>
      <c r="I5" s="101">
        <f>1319+250</f>
        <v>1569</v>
      </c>
      <c r="J5" s="92">
        <v>5650</v>
      </c>
      <c r="K5" s="24">
        <v>9000</v>
      </c>
      <c r="L5" s="92">
        <f>10000-678</f>
        <v>9322</v>
      </c>
      <c r="M5" s="92">
        <v>9000</v>
      </c>
      <c r="N5" s="92">
        <v>10000</v>
      </c>
      <c r="O5" s="92">
        <f>6417+678+1000-19-250</f>
        <v>7826</v>
      </c>
      <c r="P5" s="26">
        <f>G5-H5-I5-K5-L5-M5-N5-O5-J5</f>
        <v>0</v>
      </c>
    </row>
    <row r="6" spans="1:18" ht="18.75" x14ac:dyDescent="0.3">
      <c r="A6" s="27" t="s">
        <v>6</v>
      </c>
      <c r="B6" s="28">
        <v>37000</v>
      </c>
      <c r="C6" s="90">
        <v>4200</v>
      </c>
      <c r="D6" s="58">
        <v>0</v>
      </c>
      <c r="E6" s="58">
        <v>2011</v>
      </c>
      <c r="F6" s="54"/>
      <c r="G6" s="95">
        <f>B6-D6-E6+C6</f>
        <v>39189</v>
      </c>
      <c r="H6" s="101">
        <v>940</v>
      </c>
      <c r="I6" s="101">
        <v>1230</v>
      </c>
      <c r="J6" s="92">
        <v>5000</v>
      </c>
      <c r="K6" s="24">
        <v>7000</v>
      </c>
      <c r="L6" s="92">
        <v>8000</v>
      </c>
      <c r="M6" s="92">
        <v>8000</v>
      </c>
      <c r="N6" s="92">
        <v>8000</v>
      </c>
      <c r="O6" s="92">
        <v>1019</v>
      </c>
      <c r="P6" s="26">
        <f>G6-H6-I6-K6-L6-M6-N6-O6-J6</f>
        <v>0</v>
      </c>
    </row>
    <row r="7" spans="1:18" ht="18.75" x14ac:dyDescent="0.3">
      <c r="A7" s="29" t="s">
        <v>7</v>
      </c>
      <c r="B7" s="197">
        <v>7675</v>
      </c>
      <c r="C7" s="99"/>
      <c r="D7" s="197">
        <v>272</v>
      </c>
      <c r="E7" s="197">
        <v>283</v>
      </c>
      <c r="F7" s="197">
        <v>3700</v>
      </c>
      <c r="G7" s="202">
        <f t="shared" ref="G7:G9" si="0">B7-D7-E7</f>
        <v>7120</v>
      </c>
      <c r="H7" s="101">
        <v>3700</v>
      </c>
      <c r="I7" s="101">
        <v>1500</v>
      </c>
      <c r="J7" s="24"/>
      <c r="K7" s="82"/>
      <c r="L7" s="24"/>
      <c r="M7" s="24"/>
      <c r="N7" s="24"/>
      <c r="O7" s="24"/>
      <c r="P7" s="197">
        <f>G7-H7-I7-K8-L7-M7-N7-O7-J8-I8-L8-M8</f>
        <v>0</v>
      </c>
    </row>
    <row r="8" spans="1:18" ht="18.75" x14ac:dyDescent="0.3">
      <c r="A8" s="29" t="s">
        <v>32</v>
      </c>
      <c r="B8" s="198"/>
      <c r="C8" s="100"/>
      <c r="D8" s="198"/>
      <c r="E8" s="198"/>
      <c r="F8" s="198"/>
      <c r="G8" s="203"/>
      <c r="H8" s="24"/>
      <c r="I8" s="24"/>
      <c r="J8" s="25"/>
      <c r="K8" s="24">
        <v>800</v>
      </c>
      <c r="L8" s="92">
        <f>800+320</f>
        <v>1120</v>
      </c>
      <c r="M8" s="24"/>
      <c r="N8" s="24"/>
      <c r="O8" s="24"/>
      <c r="P8" s="198"/>
    </row>
    <row r="9" spans="1:18" ht="18.75" x14ac:dyDescent="0.3">
      <c r="A9" s="29" t="s">
        <v>8</v>
      </c>
      <c r="B9" s="197">
        <v>8358</v>
      </c>
      <c r="C9" s="99"/>
      <c r="D9" s="197">
        <v>0</v>
      </c>
      <c r="E9" s="197">
        <v>0</v>
      </c>
      <c r="F9" s="197">
        <v>5000</v>
      </c>
      <c r="G9" s="197">
        <f t="shared" si="0"/>
        <v>8358</v>
      </c>
      <c r="H9" s="24"/>
      <c r="I9" s="24"/>
      <c r="J9" s="79"/>
      <c r="K9" s="79"/>
      <c r="L9" s="79"/>
      <c r="M9" s="24"/>
      <c r="N9" s="24"/>
      <c r="O9" s="24"/>
      <c r="P9" s="197">
        <f>G9-H9-I9-K10-L10-M9-N9-O9-J10-I10-M10-N10</f>
        <v>0</v>
      </c>
    </row>
    <row r="10" spans="1:18" ht="19.5" thickBot="1" x14ac:dyDescent="0.35">
      <c r="A10" s="29" t="s">
        <v>33</v>
      </c>
      <c r="B10" s="198"/>
      <c r="C10" s="100"/>
      <c r="D10" s="198"/>
      <c r="E10" s="198"/>
      <c r="F10" s="198"/>
      <c r="G10" s="198"/>
      <c r="H10" s="24"/>
      <c r="I10" s="101">
        <v>5000</v>
      </c>
      <c r="J10" s="25"/>
      <c r="K10" s="24">
        <v>1500</v>
      </c>
      <c r="L10" s="92">
        <v>1858</v>
      </c>
      <c r="M10" s="24"/>
      <c r="N10" s="24"/>
      <c r="O10" s="24"/>
      <c r="P10" s="198"/>
    </row>
    <row r="11" spans="1:18" ht="19.5" thickBot="1" x14ac:dyDescent="0.35">
      <c r="A11" s="27" t="s">
        <v>13</v>
      </c>
      <c r="B11" s="28">
        <v>21000</v>
      </c>
      <c r="C11" s="90">
        <v>18200</v>
      </c>
      <c r="D11" s="25">
        <v>0</v>
      </c>
      <c r="E11" s="84">
        <v>5</v>
      </c>
      <c r="F11" s="85"/>
      <c r="G11" s="95">
        <f>B11-D11-E11+C11</f>
        <v>39195</v>
      </c>
      <c r="H11" s="24"/>
      <c r="I11" s="24"/>
      <c r="J11" s="92">
        <v>3500</v>
      </c>
      <c r="K11" s="92">
        <v>5500</v>
      </c>
      <c r="L11" s="92">
        <v>6200</v>
      </c>
      <c r="M11" s="92">
        <v>7000</v>
      </c>
      <c r="N11" s="92">
        <v>6500</v>
      </c>
      <c r="O11" s="92">
        <v>10495</v>
      </c>
      <c r="P11" s="26">
        <f t="shared" ref="P11:P19" si="1">G11-H11-I11-K11-L11-M11-N11-O11-J11</f>
        <v>0</v>
      </c>
    </row>
    <row r="12" spans="1:18" ht="38.25" thickBot="1" x14ac:dyDescent="0.35">
      <c r="A12" s="31" t="s">
        <v>12</v>
      </c>
      <c r="B12" s="86">
        <v>15000</v>
      </c>
      <c r="C12" s="91">
        <v>7800</v>
      </c>
      <c r="D12" s="60">
        <v>0</v>
      </c>
      <c r="E12" s="87">
        <v>0</v>
      </c>
      <c r="F12" s="88"/>
      <c r="G12" s="95">
        <f>B12-D12-E12+C12</f>
        <v>22800</v>
      </c>
      <c r="H12" s="24"/>
      <c r="I12" s="24"/>
      <c r="J12" s="92">
        <v>3500</v>
      </c>
      <c r="K12" s="24">
        <v>3500</v>
      </c>
      <c r="L12" s="24">
        <v>3500</v>
      </c>
      <c r="M12" s="92">
        <v>6000</v>
      </c>
      <c r="N12" s="92">
        <v>5000</v>
      </c>
      <c r="O12" s="92">
        <v>1300</v>
      </c>
      <c r="P12" s="26">
        <f t="shared" si="1"/>
        <v>0</v>
      </c>
      <c r="Q12" s="7"/>
      <c r="R12" s="7"/>
    </row>
    <row r="13" spans="1:18" ht="19.5" thickBot="1" x14ac:dyDescent="0.35">
      <c r="A13" s="32" t="s">
        <v>14</v>
      </c>
      <c r="B13" s="33">
        <f>SUM(B5:B12)</f>
        <v>136033</v>
      </c>
      <c r="C13" s="33">
        <f>SUM(C5:C12)</f>
        <v>40000</v>
      </c>
      <c r="D13" s="34"/>
      <c r="E13" s="35"/>
      <c r="F13" s="55"/>
      <c r="G13" s="36">
        <f>SUM(G5:G12)</f>
        <v>170739</v>
      </c>
      <c r="H13" s="37">
        <f>SUM(H5:H12)</f>
        <v>6350</v>
      </c>
      <c r="I13" s="37">
        <f>SUM(I5:I12)</f>
        <v>9299</v>
      </c>
      <c r="J13" s="37">
        <f t="shared" ref="J13:O13" si="2">SUM(J5:J12)</f>
        <v>17650</v>
      </c>
      <c r="K13" s="37">
        <f t="shared" si="2"/>
        <v>27300</v>
      </c>
      <c r="L13" s="37">
        <f t="shared" si="2"/>
        <v>30000</v>
      </c>
      <c r="M13" s="37">
        <f t="shared" si="2"/>
        <v>30000</v>
      </c>
      <c r="N13" s="37">
        <f>SUM(N5:N12)</f>
        <v>29500</v>
      </c>
      <c r="O13" s="37">
        <f t="shared" si="2"/>
        <v>20640</v>
      </c>
      <c r="P13" s="37">
        <f t="shared" si="1"/>
        <v>0</v>
      </c>
      <c r="R13" s="7"/>
    </row>
    <row r="14" spans="1:18" ht="18.75" x14ac:dyDescent="0.3">
      <c r="A14" s="38" t="s">
        <v>15</v>
      </c>
      <c r="B14" s="39">
        <v>1160</v>
      </c>
      <c r="C14" s="39"/>
      <c r="D14" s="61">
        <v>0</v>
      </c>
      <c r="E14" s="61">
        <v>0</v>
      </c>
      <c r="F14" s="62"/>
      <c r="G14" s="40">
        <f>B14-D14-E14</f>
        <v>1160</v>
      </c>
      <c r="H14" s="24">
        <v>135</v>
      </c>
      <c r="I14" s="58">
        <v>365</v>
      </c>
      <c r="J14" s="24">
        <v>460</v>
      </c>
      <c r="K14" s="24">
        <v>200</v>
      </c>
      <c r="L14" s="24"/>
      <c r="M14" s="24"/>
      <c r="N14" s="24"/>
      <c r="O14" s="24"/>
      <c r="P14" s="26">
        <f t="shared" si="1"/>
        <v>0</v>
      </c>
    </row>
    <row r="15" spans="1:18" ht="18.75" x14ac:dyDescent="0.3">
      <c r="A15" s="27" t="s">
        <v>10</v>
      </c>
      <c r="B15" s="30">
        <v>1770</v>
      </c>
      <c r="C15" s="93">
        <v>800</v>
      </c>
      <c r="D15" s="25">
        <v>0</v>
      </c>
      <c r="E15" s="59">
        <v>0</v>
      </c>
      <c r="F15" s="63"/>
      <c r="G15" s="96">
        <f>B15-D15-E15+C15</f>
        <v>2570</v>
      </c>
      <c r="H15" s="24"/>
      <c r="I15" s="58"/>
      <c r="J15" s="24"/>
      <c r="K15" s="92">
        <v>250</v>
      </c>
      <c r="L15" s="92">
        <v>650</v>
      </c>
      <c r="M15" s="92">
        <v>700</v>
      </c>
      <c r="N15" s="92">
        <v>700</v>
      </c>
      <c r="O15" s="92">
        <v>270</v>
      </c>
      <c r="P15" s="26">
        <f>G15-H15-I15-K15-L15-M15-N15-O15-J15</f>
        <v>0</v>
      </c>
    </row>
    <row r="16" spans="1:18" ht="19.5" thickBot="1" x14ac:dyDescent="0.35">
      <c r="A16" s="41" t="s">
        <v>9</v>
      </c>
      <c r="B16" s="99">
        <v>658</v>
      </c>
      <c r="C16" s="99"/>
      <c r="D16" s="99">
        <v>16</v>
      </c>
      <c r="E16" s="99">
        <v>0</v>
      </c>
      <c r="F16" s="64"/>
      <c r="G16" s="42">
        <f>B16-D16-E16</f>
        <v>642</v>
      </c>
      <c r="H16" s="24">
        <v>235</v>
      </c>
      <c r="I16" s="58">
        <v>157</v>
      </c>
      <c r="J16" s="24">
        <v>100</v>
      </c>
      <c r="K16" s="24">
        <v>150</v>
      </c>
      <c r="L16" s="24"/>
      <c r="M16" s="24"/>
      <c r="N16" s="24"/>
      <c r="O16" s="24"/>
      <c r="P16" s="26">
        <f t="shared" si="1"/>
        <v>0</v>
      </c>
    </row>
    <row r="17" spans="1:19" ht="19.5" thickBot="1" x14ac:dyDescent="0.35">
      <c r="A17" s="43" t="s">
        <v>14</v>
      </c>
      <c r="B17" s="44">
        <f>SUM(B14:B16)</f>
        <v>3588</v>
      </c>
      <c r="C17" s="44">
        <f>SUM(C14:C16)</f>
        <v>800</v>
      </c>
      <c r="D17" s="65"/>
      <c r="E17" s="65"/>
      <c r="F17" s="66"/>
      <c r="G17" s="45">
        <f>SUM(G14:G16)</f>
        <v>4372</v>
      </c>
      <c r="H17" s="44">
        <f>SUM(H14:H16)</f>
        <v>370</v>
      </c>
      <c r="I17" s="44">
        <f t="shared" ref="I17:O17" si="3">SUM(I14:I16)</f>
        <v>522</v>
      </c>
      <c r="J17" s="44">
        <f t="shared" si="3"/>
        <v>560</v>
      </c>
      <c r="K17" s="44">
        <f t="shared" si="3"/>
        <v>600</v>
      </c>
      <c r="L17" s="44">
        <f t="shared" si="3"/>
        <v>650</v>
      </c>
      <c r="M17" s="44">
        <f t="shared" si="3"/>
        <v>700</v>
      </c>
      <c r="N17" s="44">
        <f t="shared" si="3"/>
        <v>700</v>
      </c>
      <c r="O17" s="44">
        <f t="shared" si="3"/>
        <v>270</v>
      </c>
      <c r="P17" s="37">
        <f t="shared" si="1"/>
        <v>0</v>
      </c>
    </row>
    <row r="18" spans="1:19" ht="19.5" thickBot="1" x14ac:dyDescent="0.35">
      <c r="A18" s="46" t="s">
        <v>11</v>
      </c>
      <c r="B18" s="47">
        <v>3540</v>
      </c>
      <c r="C18" s="94">
        <v>2000</v>
      </c>
      <c r="D18" s="67">
        <v>0</v>
      </c>
      <c r="E18" s="67">
        <v>108</v>
      </c>
      <c r="F18" s="48"/>
      <c r="G18" s="97">
        <f>B18-D18-E18+C18</f>
        <v>5432</v>
      </c>
      <c r="H18" s="24">
        <v>120</v>
      </c>
      <c r="I18" s="24">
        <v>225</v>
      </c>
      <c r="J18" s="92">
        <v>725</v>
      </c>
      <c r="K18" s="92">
        <v>750</v>
      </c>
      <c r="L18" s="92">
        <v>950</v>
      </c>
      <c r="M18" s="92">
        <v>950</v>
      </c>
      <c r="N18" s="92">
        <v>950</v>
      </c>
      <c r="O18" s="92">
        <v>762</v>
      </c>
      <c r="P18" s="26">
        <f t="shared" si="1"/>
        <v>0</v>
      </c>
    </row>
    <row r="19" spans="1:19" ht="19.5" thickBot="1" x14ac:dyDescent="0.35">
      <c r="A19" s="43" t="s">
        <v>14</v>
      </c>
      <c r="B19" s="49">
        <f>SUM(B18)</f>
        <v>3540</v>
      </c>
      <c r="C19" s="49">
        <f>SUM(C18)</f>
        <v>2000</v>
      </c>
      <c r="D19" s="50"/>
      <c r="E19" s="50"/>
      <c r="F19" s="56"/>
      <c r="G19" s="51">
        <f>SUM(G18)</f>
        <v>5432</v>
      </c>
      <c r="H19" s="44">
        <f>SUM(H18)</f>
        <v>120</v>
      </c>
      <c r="I19" s="44">
        <f t="shared" ref="I19:O19" si="4">SUM(I18)</f>
        <v>225</v>
      </c>
      <c r="J19" s="44">
        <f t="shared" si="4"/>
        <v>725</v>
      </c>
      <c r="K19" s="44">
        <f t="shared" si="4"/>
        <v>750</v>
      </c>
      <c r="L19" s="44">
        <f t="shared" si="4"/>
        <v>950</v>
      </c>
      <c r="M19" s="44">
        <f t="shared" si="4"/>
        <v>950</v>
      </c>
      <c r="N19" s="44">
        <f t="shared" si="4"/>
        <v>950</v>
      </c>
      <c r="O19" s="44">
        <f t="shared" si="4"/>
        <v>762</v>
      </c>
      <c r="P19" s="44">
        <f t="shared" si="1"/>
        <v>0</v>
      </c>
    </row>
    <row r="21" spans="1:19" x14ac:dyDescent="0.25">
      <c r="A21" t="s">
        <v>40</v>
      </c>
      <c r="B21" s="68"/>
      <c r="C21" s="68"/>
      <c r="D21" s="68"/>
      <c r="E21" t="s">
        <v>39</v>
      </c>
      <c r="Q21" s="7"/>
      <c r="S21" s="7"/>
    </row>
    <row r="23" spans="1:19" x14ac:dyDescent="0.25">
      <c r="A23" t="s">
        <v>41</v>
      </c>
      <c r="B23" s="68"/>
      <c r="C23" s="68"/>
      <c r="D23" s="68"/>
      <c r="E23" t="s">
        <v>42</v>
      </c>
    </row>
    <row r="25" spans="1:19" x14ac:dyDescent="0.25">
      <c r="A25" t="s">
        <v>35</v>
      </c>
      <c r="B25" s="68"/>
      <c r="C25" s="68"/>
      <c r="D25" s="68"/>
      <c r="E25" t="s">
        <v>36</v>
      </c>
    </row>
    <row r="27" spans="1:19" x14ac:dyDescent="0.25">
      <c r="A27" t="s">
        <v>37</v>
      </c>
      <c r="B27" s="68"/>
      <c r="C27" s="68"/>
      <c r="D27" s="68"/>
      <c r="E27" t="s">
        <v>38</v>
      </c>
    </row>
  </sheetData>
  <mergeCells count="15">
    <mergeCell ref="A2:G2"/>
    <mergeCell ref="A3:G3"/>
    <mergeCell ref="H3:O3"/>
    <mergeCell ref="B7:B8"/>
    <mergeCell ref="D7:D8"/>
    <mergeCell ref="E7:E8"/>
    <mergeCell ref="F7:F8"/>
    <mergeCell ref="G7:G8"/>
    <mergeCell ref="P7:P8"/>
    <mergeCell ref="B9:B10"/>
    <mergeCell ref="D9:D10"/>
    <mergeCell ref="E9:E10"/>
    <mergeCell ref="F9:F10"/>
    <mergeCell ref="G9:G10"/>
    <mergeCell ref="P9:P10"/>
  </mergeCells>
  <pageMargins left="0.7" right="0.7" top="0.75" bottom="0.75" header="0.3" footer="0.3"/>
  <pageSetup paperSize="9" scale="60" fitToHeight="0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9"/>
  <sheetViews>
    <sheetView workbookViewId="0">
      <selection activeCell="H45" sqref="H45"/>
    </sheetView>
  </sheetViews>
  <sheetFormatPr defaultRowHeight="15" x14ac:dyDescent="0.25"/>
  <cols>
    <col min="2" max="2" width="37.42578125" customWidth="1"/>
    <col min="3" max="3" width="19.5703125" customWidth="1"/>
    <col min="4" max="4" width="15.42578125" customWidth="1"/>
    <col min="5" max="5" width="21.5703125" customWidth="1"/>
    <col min="6" max="6" width="27.85546875" customWidth="1"/>
    <col min="7" max="7" width="13.140625" customWidth="1"/>
  </cols>
  <sheetData>
    <row r="1" spans="2:7" x14ac:dyDescent="0.25">
      <c r="D1" t="s">
        <v>27</v>
      </c>
    </row>
    <row r="2" spans="2:7" x14ac:dyDescent="0.25">
      <c r="E2" s="3"/>
      <c r="F2" s="3"/>
    </row>
    <row r="3" spans="2:7" ht="30.75" thickBot="1" x14ac:dyDescent="0.3">
      <c r="C3" s="16" t="s">
        <v>28</v>
      </c>
      <c r="D3" s="16" t="s">
        <v>29</v>
      </c>
      <c r="E3" s="16" t="s">
        <v>26</v>
      </c>
      <c r="F3" s="16" t="s">
        <v>25</v>
      </c>
      <c r="G3" s="16" t="s">
        <v>30</v>
      </c>
    </row>
    <row r="4" spans="2:7" x14ac:dyDescent="0.25">
      <c r="B4" s="12" t="s">
        <v>5</v>
      </c>
      <c r="C4" s="4">
        <v>47000</v>
      </c>
      <c r="D4" s="8">
        <v>191</v>
      </c>
      <c r="E4" s="10">
        <f>D4*C4</f>
        <v>8977000</v>
      </c>
      <c r="F4" s="10">
        <f>E4/(8*60)</f>
        <v>18702.083333333332</v>
      </c>
      <c r="G4" s="9">
        <f>F4/85</f>
        <v>220.02450980392155</v>
      </c>
    </row>
    <row r="5" spans="2:7" x14ac:dyDescent="0.25">
      <c r="B5" s="13" t="s">
        <v>6</v>
      </c>
      <c r="C5" s="4">
        <v>37000</v>
      </c>
      <c r="D5" s="8">
        <v>191</v>
      </c>
      <c r="E5" s="10">
        <f t="shared" ref="E5:E9" si="0">D5*C5</f>
        <v>7067000</v>
      </c>
      <c r="F5" s="10">
        <f t="shared" ref="F5:F6" si="1">E5/(8*60)</f>
        <v>14722.916666666666</v>
      </c>
      <c r="G5" s="9">
        <f>F5/85</f>
        <v>173.21078431372547</v>
      </c>
    </row>
    <row r="6" spans="2:7" x14ac:dyDescent="0.25">
      <c r="B6" s="14" t="s">
        <v>7</v>
      </c>
      <c r="C6" s="5">
        <v>7675</v>
      </c>
      <c r="D6" s="8">
        <v>191</v>
      </c>
      <c r="E6" s="10">
        <f t="shared" si="0"/>
        <v>1465925</v>
      </c>
      <c r="F6" s="10">
        <f t="shared" si="1"/>
        <v>3054.0104166666665</v>
      </c>
      <c r="G6" s="9">
        <f>F6/85</f>
        <v>35.92953431372549</v>
      </c>
    </row>
    <row r="7" spans="2:7" x14ac:dyDescent="0.25">
      <c r="B7" s="14" t="s">
        <v>8</v>
      </c>
      <c r="C7" s="5">
        <v>8358</v>
      </c>
      <c r="D7" s="9"/>
      <c r="E7" s="10"/>
      <c r="F7" s="11"/>
      <c r="G7" s="9"/>
    </row>
    <row r="8" spans="2:7" x14ac:dyDescent="0.25">
      <c r="B8" s="13" t="s">
        <v>13</v>
      </c>
      <c r="C8" s="6">
        <v>21000</v>
      </c>
      <c r="D8" s="9">
        <f>160</f>
        <v>160</v>
      </c>
      <c r="E8" s="10">
        <f t="shared" si="0"/>
        <v>3360000</v>
      </c>
      <c r="F8" s="10">
        <f>E8/(8*60)</f>
        <v>7000</v>
      </c>
      <c r="G8" s="9">
        <f>F8/85</f>
        <v>82.352941176470594</v>
      </c>
    </row>
    <row r="9" spans="2:7" ht="15.75" thickBot="1" x14ac:dyDescent="0.3">
      <c r="B9" s="15" t="s">
        <v>12</v>
      </c>
      <c r="C9" s="6">
        <v>15000</v>
      </c>
      <c r="D9" s="9">
        <f>160</f>
        <v>160</v>
      </c>
      <c r="E9" s="10">
        <f t="shared" si="0"/>
        <v>2400000</v>
      </c>
      <c r="F9" s="10">
        <f>E9/(8*60)</f>
        <v>5000</v>
      </c>
      <c r="G9" s="9">
        <f>F9/85</f>
        <v>58.823529411764703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4:AD91"/>
  <sheetViews>
    <sheetView topLeftCell="A10" zoomScaleNormal="100" workbookViewId="0">
      <selection activeCell="T87" sqref="T87"/>
    </sheetView>
  </sheetViews>
  <sheetFormatPr defaultRowHeight="15" x14ac:dyDescent="0.25"/>
  <cols>
    <col min="1" max="1" width="18" customWidth="1"/>
    <col min="2" max="2" width="31.140625" customWidth="1"/>
    <col min="3" max="3" width="14.140625" customWidth="1"/>
    <col min="4" max="4" width="24.85546875" hidden="1" customWidth="1"/>
    <col min="5" max="5" width="0" hidden="1" customWidth="1"/>
    <col min="6" max="6" width="24.140625" hidden="1" customWidth="1"/>
    <col min="7" max="7" width="11.85546875" hidden="1" customWidth="1"/>
    <col min="8" max="10" width="0" hidden="1" customWidth="1"/>
    <col min="11" max="12" width="10.85546875" hidden="1" customWidth="1"/>
    <col min="13" max="13" width="15.42578125" hidden="1" customWidth="1"/>
    <col min="14" max="14" width="0" hidden="1" customWidth="1"/>
    <col min="15" max="15" width="14" hidden="1" customWidth="1"/>
    <col min="16" max="16" width="10.85546875" hidden="1" customWidth="1"/>
    <col min="17" max="17" width="13.85546875" hidden="1" customWidth="1"/>
    <col min="18" max="19" width="11" customWidth="1"/>
    <col min="20" max="20" width="12.85546875" customWidth="1"/>
    <col min="22" max="22" width="10.85546875" customWidth="1"/>
    <col min="23" max="23" width="11.5703125" customWidth="1"/>
    <col min="24" max="25" width="11.42578125" customWidth="1"/>
    <col min="26" max="27" width="10.140625" customWidth="1"/>
  </cols>
  <sheetData>
    <row r="4" spans="1:30" ht="26.25" x14ac:dyDescent="0.4">
      <c r="B4" s="83" t="s">
        <v>76</v>
      </c>
    </row>
    <row r="5" spans="1:30" ht="15.75" thickBot="1" x14ac:dyDescent="0.3">
      <c r="H5" t="s">
        <v>16</v>
      </c>
    </row>
    <row r="6" spans="1:30" ht="68.099999999999994" customHeight="1" x14ac:dyDescent="0.25">
      <c r="B6" s="19" t="s">
        <v>0</v>
      </c>
      <c r="C6" s="20" t="s">
        <v>1</v>
      </c>
      <c r="D6" s="20" t="s">
        <v>2</v>
      </c>
      <c r="E6" s="20" t="s">
        <v>3</v>
      </c>
      <c r="F6" s="21" t="s">
        <v>31</v>
      </c>
      <c r="G6" s="21" t="s">
        <v>4</v>
      </c>
      <c r="H6" s="52" t="s">
        <v>17</v>
      </c>
      <c r="I6" s="52" t="s">
        <v>18</v>
      </c>
      <c r="J6" s="52" t="s">
        <v>19</v>
      </c>
      <c r="K6" s="52" t="s">
        <v>20</v>
      </c>
      <c r="L6" s="52" t="s">
        <v>21</v>
      </c>
      <c r="M6" s="52" t="s">
        <v>22</v>
      </c>
      <c r="N6" s="52" t="s">
        <v>34</v>
      </c>
      <c r="O6" s="52" t="s">
        <v>23</v>
      </c>
      <c r="P6" s="52" t="s">
        <v>24</v>
      </c>
      <c r="R6" s="70" t="s">
        <v>45</v>
      </c>
      <c r="S6" s="70" t="s">
        <v>75</v>
      </c>
      <c r="T6" s="70" t="s">
        <v>72</v>
      </c>
      <c r="U6" s="70" t="s">
        <v>18</v>
      </c>
      <c r="V6" s="70" t="s">
        <v>19</v>
      </c>
      <c r="W6" s="70" t="s">
        <v>20</v>
      </c>
      <c r="X6" s="70" t="s">
        <v>21</v>
      </c>
      <c r="Y6" s="70" t="s">
        <v>22</v>
      </c>
      <c r="Z6" s="70" t="s">
        <v>57</v>
      </c>
      <c r="AA6" s="70" t="s">
        <v>58</v>
      </c>
    </row>
    <row r="7" spans="1:30" x14ac:dyDescent="0.25">
      <c r="A7" s="9"/>
      <c r="B7" s="9"/>
      <c r="C7" s="71"/>
      <c r="D7" s="9"/>
      <c r="E7" s="9"/>
      <c r="F7" s="9"/>
      <c r="G7" s="72"/>
      <c r="H7" s="69"/>
      <c r="I7" s="69"/>
      <c r="J7" s="69"/>
      <c r="K7" s="69"/>
      <c r="L7" s="69"/>
      <c r="M7" s="69"/>
      <c r="N7" s="69"/>
      <c r="O7" s="9"/>
      <c r="P7" s="9"/>
      <c r="Q7" s="73"/>
      <c r="R7" s="79"/>
      <c r="S7" s="79"/>
      <c r="T7" s="79"/>
      <c r="U7" s="79"/>
      <c r="V7" s="79"/>
      <c r="W7" s="79"/>
      <c r="X7" s="79"/>
      <c r="Y7" s="79"/>
      <c r="Z7" s="79"/>
      <c r="AA7" s="79"/>
    </row>
    <row r="8" spans="1:30" x14ac:dyDescent="0.25">
      <c r="A8" s="9" t="s">
        <v>61</v>
      </c>
      <c r="B8" s="9" t="s">
        <v>43</v>
      </c>
      <c r="C8" s="71"/>
      <c r="D8" s="9"/>
      <c r="E8" s="9"/>
      <c r="F8" s="9"/>
      <c r="G8" s="72"/>
      <c r="H8" s="69"/>
      <c r="I8" s="69"/>
      <c r="J8" s="69"/>
      <c r="K8" s="69"/>
      <c r="L8" s="69"/>
      <c r="M8" s="69"/>
      <c r="N8" s="69"/>
      <c r="O8" s="9"/>
      <c r="P8" s="9"/>
      <c r="Q8" s="73"/>
      <c r="R8" s="78">
        <v>3347</v>
      </c>
      <c r="S8" s="78"/>
      <c r="T8" s="78">
        <v>6500</v>
      </c>
      <c r="U8" s="79"/>
      <c r="V8" s="79">
        <f>SUM(J43,J46,J52)</f>
        <v>14149</v>
      </c>
      <c r="W8" s="79">
        <f t="shared" ref="W8:W9" si="0">SUM(K43,K46,K52)</f>
        <v>16800</v>
      </c>
      <c r="X8" s="79">
        <f t="shared" ref="X8:X9" si="1">SUM(L43,L46,L52)</f>
        <v>16567</v>
      </c>
      <c r="Y8" s="79">
        <f t="shared" ref="Y8:Y9" si="2">SUM(M43,M46,M52)</f>
        <v>16000</v>
      </c>
      <c r="Z8" s="79">
        <f t="shared" ref="Z8:Z9" si="3">SUM(N43,N46,N52)</f>
        <v>14700</v>
      </c>
      <c r="AA8" s="78">
        <f>SUM(V8:Z8)</f>
        <v>78216</v>
      </c>
    </row>
    <row r="9" spans="1:30" x14ac:dyDescent="0.25">
      <c r="A9" s="9" t="s">
        <v>61</v>
      </c>
      <c r="B9" s="9" t="s">
        <v>44</v>
      </c>
      <c r="C9" s="71"/>
      <c r="D9" s="9"/>
      <c r="E9" s="9"/>
      <c r="F9" s="9"/>
      <c r="G9" s="72"/>
      <c r="H9" s="69"/>
      <c r="I9" s="69"/>
      <c r="J9" s="69"/>
      <c r="K9" s="69"/>
      <c r="L9" s="69"/>
      <c r="M9" s="69"/>
      <c r="N9" s="69"/>
      <c r="O9" s="9"/>
      <c r="P9" s="9"/>
      <c r="Q9" s="73"/>
      <c r="R9" s="78">
        <v>4807</v>
      </c>
      <c r="S9" s="78"/>
      <c r="T9" s="78">
        <v>6500</v>
      </c>
      <c r="U9" s="79"/>
      <c r="V9" s="79">
        <f>SUM(J44,J47,J53)</f>
        <v>14149</v>
      </c>
      <c r="W9" s="79">
        <f t="shared" si="0"/>
        <v>16800</v>
      </c>
      <c r="X9" s="79">
        <f t="shared" si="1"/>
        <v>16567</v>
      </c>
      <c r="Y9" s="79">
        <f t="shared" si="2"/>
        <v>16000</v>
      </c>
      <c r="Z9" s="79">
        <f t="shared" si="3"/>
        <v>14700</v>
      </c>
      <c r="AA9" s="78">
        <f>SUM(V9:Z9)</f>
        <v>78216</v>
      </c>
    </row>
    <row r="10" spans="1:30" x14ac:dyDescent="0.25">
      <c r="A10" s="9"/>
      <c r="B10" s="9"/>
      <c r="C10" s="71"/>
      <c r="D10" s="9"/>
      <c r="E10" s="9"/>
      <c r="F10" s="9"/>
      <c r="G10" s="72"/>
      <c r="H10" s="69"/>
      <c r="I10" s="69"/>
      <c r="J10" s="69"/>
      <c r="K10" s="69"/>
      <c r="L10" s="69"/>
      <c r="M10" s="69"/>
      <c r="N10" s="69"/>
      <c r="O10" s="9"/>
      <c r="P10" s="9"/>
      <c r="Q10" s="73"/>
      <c r="R10" s="79"/>
      <c r="S10" s="79"/>
      <c r="T10" s="79"/>
      <c r="U10" s="79"/>
      <c r="V10" s="79"/>
      <c r="W10" s="79"/>
      <c r="X10" s="79"/>
      <c r="Y10" s="79"/>
      <c r="Z10" s="79"/>
      <c r="AA10" s="79"/>
    </row>
    <row r="11" spans="1:30" x14ac:dyDescent="0.25">
      <c r="A11" s="69" t="s">
        <v>62</v>
      </c>
      <c r="B11" s="69" t="s">
        <v>73</v>
      </c>
      <c r="C11" s="71"/>
      <c r="D11" s="9"/>
      <c r="E11" s="9"/>
      <c r="F11" s="9"/>
      <c r="G11" s="72"/>
      <c r="H11" s="69"/>
      <c r="I11" s="69"/>
      <c r="J11" s="69"/>
      <c r="K11" s="69"/>
      <c r="L11" s="69"/>
      <c r="M11" s="69"/>
      <c r="N11" s="69"/>
      <c r="O11" s="9"/>
      <c r="P11" s="9"/>
      <c r="Q11" s="73"/>
      <c r="R11" s="79"/>
      <c r="S11" s="79"/>
      <c r="T11" s="79"/>
      <c r="U11" s="78">
        <f>I64+I77</f>
        <v>522</v>
      </c>
      <c r="V11" s="78">
        <f t="shared" ref="V11:X11" si="4">J64+J77</f>
        <v>560</v>
      </c>
      <c r="W11" s="78">
        <f t="shared" si="4"/>
        <v>200</v>
      </c>
      <c r="X11" s="78">
        <f t="shared" si="4"/>
        <v>150</v>
      </c>
      <c r="Y11" s="79"/>
      <c r="Z11" s="79"/>
      <c r="AA11" s="79"/>
    </row>
    <row r="12" spans="1:30" x14ac:dyDescent="0.25">
      <c r="A12" s="9" t="s">
        <v>62</v>
      </c>
      <c r="B12" s="9" t="s">
        <v>46</v>
      </c>
      <c r="C12" s="71"/>
      <c r="D12" s="9"/>
      <c r="E12" s="9"/>
      <c r="F12" s="9"/>
      <c r="G12" s="72"/>
      <c r="H12" s="69"/>
      <c r="I12" s="69"/>
      <c r="J12" s="69"/>
      <c r="K12" s="69"/>
      <c r="L12" s="69"/>
      <c r="M12" s="69"/>
      <c r="N12" s="69"/>
      <c r="O12" s="9"/>
      <c r="P12" s="9"/>
      <c r="Q12" s="73"/>
      <c r="R12" s="78">
        <f>1449-93</f>
        <v>1356</v>
      </c>
      <c r="S12" s="78">
        <v>307</v>
      </c>
      <c r="T12" s="78">
        <v>200</v>
      </c>
      <c r="U12" s="79">
        <f>IF((R12-S12+T12)-$U$11&gt;0,0,ABS(R12-S12+T12)-$U$11)</f>
        <v>0</v>
      </c>
      <c r="V12" s="79">
        <v>0</v>
      </c>
      <c r="W12" s="79">
        <v>33</v>
      </c>
      <c r="X12" s="79">
        <f t="shared" ref="X12:X15" si="5">L73+L60</f>
        <v>150</v>
      </c>
      <c r="Y12" s="79"/>
      <c r="Z12" s="79"/>
      <c r="AA12" s="78">
        <f>SUM(U12:Z12)</f>
        <v>183</v>
      </c>
      <c r="AD12" s="82"/>
    </row>
    <row r="13" spans="1:30" x14ac:dyDescent="0.25">
      <c r="A13" s="9" t="s">
        <v>62</v>
      </c>
      <c r="B13" s="9" t="s">
        <v>47</v>
      </c>
      <c r="C13" s="71"/>
      <c r="D13" s="9"/>
      <c r="E13" s="9"/>
      <c r="F13" s="9"/>
      <c r="G13" s="72"/>
      <c r="H13" s="69"/>
      <c r="I13" s="69"/>
      <c r="J13" s="69"/>
      <c r="K13" s="69"/>
      <c r="L13" s="69"/>
      <c r="M13" s="69"/>
      <c r="N13" s="69"/>
      <c r="O13" s="9"/>
      <c r="P13" s="9"/>
      <c r="Q13" s="73"/>
      <c r="R13" s="78">
        <f>1220-93</f>
        <v>1127</v>
      </c>
      <c r="S13" s="78">
        <v>307</v>
      </c>
      <c r="T13" s="78">
        <v>50</v>
      </c>
      <c r="U13" s="79">
        <f t="shared" ref="U13:U15" si="6">IF((R13-S13+T13)-$U$11&gt;0,0,ABS(R13-S13+T13)-$U$11)</f>
        <v>0</v>
      </c>
      <c r="V13" s="79">
        <f>IF((R13-S13+T13)-$U$11-$V$11&gt;0,0,((R13-S13+T13)-$U$11-$V$11)*-1)</f>
        <v>212</v>
      </c>
      <c r="W13" s="79">
        <f>K74+K61</f>
        <v>200</v>
      </c>
      <c r="X13" s="79">
        <f t="shared" si="5"/>
        <v>150</v>
      </c>
      <c r="Y13" s="79"/>
      <c r="Z13" s="79"/>
      <c r="AA13" s="78">
        <f t="shared" ref="AA13:AA15" si="7">SUM(U13:Z13)</f>
        <v>562</v>
      </c>
      <c r="AD13" s="82"/>
    </row>
    <row r="14" spans="1:30" x14ac:dyDescent="0.25">
      <c r="A14" s="9" t="s">
        <v>62</v>
      </c>
      <c r="B14" s="9" t="s">
        <v>48</v>
      </c>
      <c r="C14" s="71"/>
      <c r="D14" s="9"/>
      <c r="E14" s="9"/>
      <c r="F14" s="9"/>
      <c r="G14" s="72"/>
      <c r="H14" s="69"/>
      <c r="I14" s="69"/>
      <c r="J14" s="69"/>
      <c r="K14" s="69"/>
      <c r="L14" s="69"/>
      <c r="M14" s="69"/>
      <c r="N14" s="69"/>
      <c r="O14" s="9"/>
      <c r="P14" s="9"/>
      <c r="Q14" s="73"/>
      <c r="R14" s="78">
        <f>1266-93</f>
        <v>1173</v>
      </c>
      <c r="S14" s="78">
        <v>307</v>
      </c>
      <c r="T14" s="78">
        <v>100</v>
      </c>
      <c r="U14" s="79">
        <f t="shared" si="6"/>
        <v>0</v>
      </c>
      <c r="V14" s="79">
        <f t="shared" ref="V14" si="8">IF((R14-S14+T14)-$U$11-$V$11&gt;0,0,((R14-S14+T14)-$U$11-$V$11)*-1)</f>
        <v>116</v>
      </c>
      <c r="W14" s="79">
        <f>K75+K62</f>
        <v>200</v>
      </c>
      <c r="X14" s="79">
        <f t="shared" si="5"/>
        <v>150</v>
      </c>
      <c r="Y14" s="79"/>
      <c r="Z14" s="79"/>
      <c r="AA14" s="78">
        <f t="shared" si="7"/>
        <v>466</v>
      </c>
      <c r="AD14" s="82"/>
    </row>
    <row r="15" spans="1:30" x14ac:dyDescent="0.25">
      <c r="A15" s="9" t="s">
        <v>62</v>
      </c>
      <c r="B15" s="9" t="s">
        <v>49</v>
      </c>
      <c r="C15" s="71"/>
      <c r="D15" s="9"/>
      <c r="E15" s="9"/>
      <c r="F15" s="9"/>
      <c r="G15" s="72"/>
      <c r="H15" s="69"/>
      <c r="I15" s="69"/>
      <c r="J15" s="69"/>
      <c r="K15" s="69"/>
      <c r="L15" s="69"/>
      <c r="M15" s="69"/>
      <c r="N15" s="69"/>
      <c r="O15" s="9"/>
      <c r="P15" s="9"/>
      <c r="Q15" s="73"/>
      <c r="R15" s="78">
        <f>945-93</f>
        <v>852</v>
      </c>
      <c r="S15" s="78">
        <v>307</v>
      </c>
      <c r="T15" s="78">
        <v>150</v>
      </c>
      <c r="U15" s="79">
        <f t="shared" si="6"/>
        <v>0</v>
      </c>
      <c r="V15" s="79">
        <f>IF((R15-S15+T15)-$U$11-$V$11&gt;0,0,((R15-S15+T15)-$U$11-$V$11)*-1)</f>
        <v>387</v>
      </c>
      <c r="W15" s="79">
        <f>K76+K63</f>
        <v>200</v>
      </c>
      <c r="X15" s="79">
        <f t="shared" si="5"/>
        <v>150</v>
      </c>
      <c r="Y15" s="79"/>
      <c r="Z15" s="79"/>
      <c r="AA15" s="78">
        <f t="shared" si="7"/>
        <v>737</v>
      </c>
    </row>
    <row r="16" spans="1:30" x14ac:dyDescent="0.25">
      <c r="A16" s="9"/>
      <c r="B16" s="9"/>
      <c r="C16" s="71"/>
      <c r="D16" s="9"/>
      <c r="E16" s="9"/>
      <c r="F16" s="9"/>
      <c r="G16" s="72"/>
      <c r="H16" s="69"/>
      <c r="I16" s="69"/>
      <c r="J16" s="69"/>
      <c r="K16" s="69"/>
      <c r="L16" s="69"/>
      <c r="M16" s="69"/>
      <c r="N16" s="69"/>
      <c r="O16" s="9"/>
      <c r="P16" s="9"/>
      <c r="Q16" s="73"/>
      <c r="R16" s="78"/>
      <c r="S16" s="78"/>
      <c r="T16" s="78"/>
      <c r="U16" s="79"/>
      <c r="V16" s="79"/>
      <c r="W16" s="79"/>
      <c r="X16" s="79"/>
      <c r="Y16" s="79"/>
      <c r="Z16" s="79"/>
      <c r="AA16" s="78"/>
    </row>
    <row r="17" spans="1:27" x14ac:dyDescent="0.25">
      <c r="A17" s="9" t="s">
        <v>62</v>
      </c>
      <c r="B17" s="9" t="s">
        <v>63</v>
      </c>
      <c r="C17" s="71"/>
      <c r="D17" s="9"/>
      <c r="E17" s="9"/>
      <c r="F17" s="9"/>
      <c r="G17" s="72"/>
      <c r="H17" s="69"/>
      <c r="I17" s="69"/>
      <c r="J17" s="69"/>
      <c r="K17" s="69"/>
      <c r="L17" s="69"/>
      <c r="M17" s="69"/>
      <c r="N17" s="69"/>
      <c r="O17" s="9"/>
      <c r="P17" s="9"/>
      <c r="Q17" s="73"/>
      <c r="R17" s="78">
        <v>452</v>
      </c>
      <c r="S17" s="78">
        <v>307</v>
      </c>
      <c r="T17" s="78">
        <v>200</v>
      </c>
      <c r="U17" s="79">
        <f>IF((R17-S17+T17)-$U$11&gt;0,0,(R17-S17+T17-$U$11)*-1)</f>
        <v>177</v>
      </c>
      <c r="V17" s="79">
        <f>$V$11</f>
        <v>560</v>
      </c>
      <c r="W17" s="79">
        <f>$W$11</f>
        <v>200</v>
      </c>
      <c r="X17" s="79">
        <f>$X$11</f>
        <v>150</v>
      </c>
      <c r="Y17" s="79"/>
      <c r="Z17" s="79"/>
      <c r="AA17" s="78">
        <f>SUM(U17:Z17)</f>
        <v>1087</v>
      </c>
    </row>
    <row r="18" spans="1:27" x14ac:dyDescent="0.25">
      <c r="A18" s="9" t="s">
        <v>62</v>
      </c>
      <c r="B18" s="9" t="s">
        <v>64</v>
      </c>
      <c r="C18" s="71"/>
      <c r="D18" s="9"/>
      <c r="E18" s="9"/>
      <c r="F18" s="9"/>
      <c r="G18" s="72"/>
      <c r="H18" s="69"/>
      <c r="I18" s="69"/>
      <c r="J18" s="69"/>
      <c r="K18" s="69"/>
      <c r="L18" s="69"/>
      <c r="M18" s="69"/>
      <c r="N18" s="69"/>
      <c r="O18" s="9"/>
      <c r="P18" s="9"/>
      <c r="Q18" s="73"/>
      <c r="R18" s="78">
        <v>211</v>
      </c>
      <c r="S18" s="78">
        <v>307</v>
      </c>
      <c r="T18" s="78">
        <v>400</v>
      </c>
      <c r="U18" s="79">
        <f>IF((R18-S18+T18)-$U$11&gt;0,0,(R18-S18+T18-$U$11)*-1)</f>
        <v>218</v>
      </c>
      <c r="V18" s="79">
        <f t="shared" ref="V18:V27" si="9">$V$11</f>
        <v>560</v>
      </c>
      <c r="W18" s="79">
        <f t="shared" ref="W18:W27" si="10">$W$11</f>
        <v>200</v>
      </c>
      <c r="X18" s="79">
        <f t="shared" ref="X18:X27" si="11">$X$11</f>
        <v>150</v>
      </c>
      <c r="Y18" s="79"/>
      <c r="Z18" s="79"/>
      <c r="AA18" s="78">
        <f t="shared" ref="AA18:AA27" si="12">SUM(U18:Z18)</f>
        <v>1128</v>
      </c>
    </row>
    <row r="19" spans="1:27" x14ac:dyDescent="0.25">
      <c r="A19" s="9" t="s">
        <v>62</v>
      </c>
      <c r="B19" s="9" t="s">
        <v>65</v>
      </c>
      <c r="C19" s="71"/>
      <c r="D19" s="9"/>
      <c r="E19" s="9"/>
      <c r="F19" s="9"/>
      <c r="G19" s="72"/>
      <c r="H19" s="69"/>
      <c r="I19" s="69"/>
      <c r="J19" s="69"/>
      <c r="K19" s="69"/>
      <c r="L19" s="69"/>
      <c r="M19" s="69"/>
      <c r="N19" s="69"/>
      <c r="O19" s="9"/>
      <c r="P19" s="9"/>
      <c r="Q19" s="73"/>
      <c r="R19" s="78">
        <v>207</v>
      </c>
      <c r="S19" s="78">
        <v>307</v>
      </c>
      <c r="T19" s="78">
        <v>300</v>
      </c>
      <c r="U19" s="79">
        <f>IF((R19-S19+T19)-$U$11&gt;0,0,(R19-S19+T19-$U$11)*-1)</f>
        <v>322</v>
      </c>
      <c r="V19" s="79">
        <f t="shared" si="9"/>
        <v>560</v>
      </c>
      <c r="W19" s="79">
        <f t="shared" si="10"/>
        <v>200</v>
      </c>
      <c r="X19" s="79">
        <f t="shared" si="11"/>
        <v>150</v>
      </c>
      <c r="Y19" s="79"/>
      <c r="Z19" s="79"/>
      <c r="AA19" s="78">
        <f t="shared" si="12"/>
        <v>1232</v>
      </c>
    </row>
    <row r="20" spans="1:27" x14ac:dyDescent="0.25">
      <c r="A20" s="9" t="s">
        <v>62</v>
      </c>
      <c r="B20" s="9" t="s">
        <v>66</v>
      </c>
      <c r="C20" s="71"/>
      <c r="D20" s="9"/>
      <c r="E20" s="9"/>
      <c r="F20" s="9"/>
      <c r="G20" s="72"/>
      <c r="H20" s="69"/>
      <c r="I20" s="69"/>
      <c r="J20" s="69"/>
      <c r="K20" s="69"/>
      <c r="L20" s="69"/>
      <c r="M20" s="69"/>
      <c r="N20" s="69"/>
      <c r="O20" s="9"/>
      <c r="P20" s="9"/>
      <c r="Q20" s="73"/>
      <c r="R20" s="78">
        <v>207</v>
      </c>
      <c r="S20" s="78">
        <v>307</v>
      </c>
      <c r="T20" s="78">
        <v>300</v>
      </c>
      <c r="U20" s="79">
        <f t="shared" ref="U20:U25" si="13">IF((R20-S20+T20)-$U$11&gt;0,0,(R20-S20+T20-$U$11)*-1)</f>
        <v>322</v>
      </c>
      <c r="V20" s="79">
        <f t="shared" si="9"/>
        <v>560</v>
      </c>
      <c r="W20" s="79">
        <f t="shared" si="10"/>
        <v>200</v>
      </c>
      <c r="X20" s="79">
        <f t="shared" si="11"/>
        <v>150</v>
      </c>
      <c r="Y20" s="79"/>
      <c r="Z20" s="79"/>
      <c r="AA20" s="78">
        <f t="shared" si="12"/>
        <v>1232</v>
      </c>
    </row>
    <row r="21" spans="1:27" x14ac:dyDescent="0.25">
      <c r="A21" s="9" t="s">
        <v>62</v>
      </c>
      <c r="B21" s="9" t="s">
        <v>67</v>
      </c>
      <c r="C21" s="71"/>
      <c r="D21" s="9"/>
      <c r="E21" s="9"/>
      <c r="F21" s="9"/>
      <c r="G21" s="72"/>
      <c r="H21" s="69"/>
      <c r="I21" s="69"/>
      <c r="J21" s="69"/>
      <c r="K21" s="69"/>
      <c r="L21" s="69"/>
      <c r="M21" s="69"/>
      <c r="N21" s="69"/>
      <c r="O21" s="9"/>
      <c r="P21" s="9"/>
      <c r="Q21" s="73"/>
      <c r="R21" s="78">
        <v>205</v>
      </c>
      <c r="S21" s="78">
        <v>307</v>
      </c>
      <c r="T21" s="78">
        <v>300</v>
      </c>
      <c r="U21" s="79">
        <f t="shared" si="13"/>
        <v>324</v>
      </c>
      <c r="V21" s="79">
        <f t="shared" si="9"/>
        <v>560</v>
      </c>
      <c r="W21" s="79">
        <f t="shared" si="10"/>
        <v>200</v>
      </c>
      <c r="X21" s="79">
        <f t="shared" si="11"/>
        <v>150</v>
      </c>
      <c r="Y21" s="79"/>
      <c r="Z21" s="79"/>
      <c r="AA21" s="78">
        <f t="shared" si="12"/>
        <v>1234</v>
      </c>
    </row>
    <row r="22" spans="1:27" x14ac:dyDescent="0.25">
      <c r="A22" s="9" t="s">
        <v>62</v>
      </c>
      <c r="B22" s="9" t="s">
        <v>68</v>
      </c>
      <c r="C22" s="71"/>
      <c r="D22" s="9"/>
      <c r="E22" s="9"/>
      <c r="F22" s="9"/>
      <c r="G22" s="72"/>
      <c r="H22" s="69"/>
      <c r="I22" s="69"/>
      <c r="J22" s="69"/>
      <c r="K22" s="69"/>
      <c r="L22" s="69"/>
      <c r="M22" s="69"/>
      <c r="N22" s="69"/>
      <c r="O22" s="9"/>
      <c r="P22" s="9"/>
      <c r="Q22" s="73"/>
      <c r="R22" s="78">
        <v>212</v>
      </c>
      <c r="S22" s="78">
        <v>307</v>
      </c>
      <c r="T22" s="78">
        <v>300</v>
      </c>
      <c r="U22" s="79">
        <f t="shared" si="13"/>
        <v>317</v>
      </c>
      <c r="V22" s="79">
        <f t="shared" si="9"/>
        <v>560</v>
      </c>
      <c r="W22" s="79">
        <f t="shared" si="10"/>
        <v>200</v>
      </c>
      <c r="X22" s="79">
        <f t="shared" si="11"/>
        <v>150</v>
      </c>
      <c r="Y22" s="79"/>
      <c r="Z22" s="79"/>
      <c r="AA22" s="78">
        <f t="shared" si="12"/>
        <v>1227</v>
      </c>
    </row>
    <row r="23" spans="1:27" x14ac:dyDescent="0.25">
      <c r="A23" s="9" t="s">
        <v>62</v>
      </c>
      <c r="B23" s="9" t="s">
        <v>69</v>
      </c>
      <c r="C23" s="71"/>
      <c r="D23" s="9"/>
      <c r="E23" s="9"/>
      <c r="F23" s="9"/>
      <c r="G23" s="72"/>
      <c r="H23" s="69"/>
      <c r="I23" s="69"/>
      <c r="J23" s="69"/>
      <c r="K23" s="69"/>
      <c r="L23" s="69"/>
      <c r="M23" s="69"/>
      <c r="N23" s="69"/>
      <c r="O23" s="9"/>
      <c r="P23" s="9"/>
      <c r="Q23" s="73"/>
      <c r="R23" s="78">
        <v>212</v>
      </c>
      <c r="S23" s="78">
        <v>307</v>
      </c>
      <c r="T23" s="78">
        <v>300</v>
      </c>
      <c r="U23" s="79">
        <f t="shared" si="13"/>
        <v>317</v>
      </c>
      <c r="V23" s="79">
        <f t="shared" si="9"/>
        <v>560</v>
      </c>
      <c r="W23" s="79">
        <f t="shared" si="10"/>
        <v>200</v>
      </c>
      <c r="X23" s="79">
        <f t="shared" si="11"/>
        <v>150</v>
      </c>
      <c r="Y23" s="79"/>
      <c r="Z23" s="79"/>
      <c r="AA23" s="78">
        <f t="shared" si="12"/>
        <v>1227</v>
      </c>
    </row>
    <row r="24" spans="1:27" x14ac:dyDescent="0.25">
      <c r="A24" s="9" t="s">
        <v>62</v>
      </c>
      <c r="B24" s="9" t="s">
        <v>70</v>
      </c>
      <c r="C24" s="71"/>
      <c r="D24" s="9"/>
      <c r="E24" s="9"/>
      <c r="F24" s="9"/>
      <c r="G24" s="72"/>
      <c r="H24" s="69"/>
      <c r="I24" s="69"/>
      <c r="J24" s="69"/>
      <c r="K24" s="69"/>
      <c r="L24" s="69"/>
      <c r="M24" s="69"/>
      <c r="N24" s="69"/>
      <c r="O24" s="9"/>
      <c r="P24" s="9"/>
      <c r="Q24" s="73"/>
      <c r="R24" s="78">
        <v>212</v>
      </c>
      <c r="S24" s="78">
        <v>307</v>
      </c>
      <c r="T24" s="78">
        <v>300</v>
      </c>
      <c r="U24" s="79">
        <f t="shared" si="13"/>
        <v>317</v>
      </c>
      <c r="V24" s="79">
        <f t="shared" si="9"/>
        <v>560</v>
      </c>
      <c r="W24" s="79">
        <f t="shared" si="10"/>
        <v>200</v>
      </c>
      <c r="X24" s="79">
        <f t="shared" si="11"/>
        <v>150</v>
      </c>
      <c r="Y24" s="79"/>
      <c r="Z24" s="79"/>
      <c r="AA24" s="78">
        <f t="shared" si="12"/>
        <v>1227</v>
      </c>
    </row>
    <row r="25" spans="1:27" x14ac:dyDescent="0.25">
      <c r="A25" s="9" t="s">
        <v>62</v>
      </c>
      <c r="B25" s="9" t="s">
        <v>71</v>
      </c>
      <c r="C25" s="71"/>
      <c r="D25" s="9"/>
      <c r="E25" s="9"/>
      <c r="F25" s="9"/>
      <c r="G25" s="72"/>
      <c r="H25" s="69"/>
      <c r="I25" s="69"/>
      <c r="J25" s="69"/>
      <c r="K25" s="69"/>
      <c r="L25" s="69"/>
      <c r="M25" s="69"/>
      <c r="N25" s="69"/>
      <c r="O25" s="9"/>
      <c r="P25" s="9"/>
      <c r="Q25" s="73"/>
      <c r="R25" s="78">
        <v>212</v>
      </c>
      <c r="S25" s="78">
        <v>307</v>
      </c>
      <c r="T25" s="78">
        <v>300</v>
      </c>
      <c r="U25" s="79">
        <f t="shared" si="13"/>
        <v>317</v>
      </c>
      <c r="V25" s="79">
        <f t="shared" si="9"/>
        <v>560</v>
      </c>
      <c r="W25" s="79">
        <f t="shared" si="10"/>
        <v>200</v>
      </c>
      <c r="X25" s="79">
        <f t="shared" si="11"/>
        <v>150</v>
      </c>
      <c r="Y25" s="79"/>
      <c r="Z25" s="79"/>
      <c r="AA25" s="78">
        <f t="shared" si="12"/>
        <v>1227</v>
      </c>
    </row>
    <row r="26" spans="1:27" x14ac:dyDescent="0.25">
      <c r="A26" s="9"/>
      <c r="B26" s="9"/>
      <c r="C26" s="71"/>
      <c r="D26" s="9"/>
      <c r="E26" s="9"/>
      <c r="F26" s="9"/>
      <c r="G26" s="72"/>
      <c r="H26" s="69"/>
      <c r="I26" s="69"/>
      <c r="J26" s="69"/>
      <c r="K26" s="69"/>
      <c r="L26" s="69"/>
      <c r="M26" s="69"/>
      <c r="N26" s="69"/>
      <c r="O26" s="9"/>
      <c r="P26" s="9"/>
      <c r="Q26" s="73"/>
      <c r="R26" s="78"/>
      <c r="S26" s="78"/>
      <c r="T26" s="78"/>
      <c r="U26" s="79"/>
      <c r="V26" s="79"/>
      <c r="W26" s="79"/>
      <c r="X26" s="79"/>
      <c r="Y26" s="79"/>
      <c r="Z26" s="79"/>
      <c r="AA26" s="78"/>
    </row>
    <row r="27" spans="1:27" x14ac:dyDescent="0.25">
      <c r="A27" s="9"/>
      <c r="B27" s="9" t="s">
        <v>74</v>
      </c>
      <c r="C27" s="71"/>
      <c r="D27" s="9"/>
      <c r="E27" s="9"/>
      <c r="F27" s="9"/>
      <c r="G27" s="72"/>
      <c r="H27" s="69"/>
      <c r="I27" s="69"/>
      <c r="J27" s="69"/>
      <c r="K27" s="69"/>
      <c r="L27" s="69"/>
      <c r="M27" s="69"/>
      <c r="N27" s="69"/>
      <c r="O27" s="9"/>
      <c r="P27" s="9"/>
      <c r="Q27" s="73"/>
      <c r="R27" s="78"/>
      <c r="S27" s="78"/>
      <c r="T27" s="78"/>
      <c r="U27" s="79">
        <v>22</v>
      </c>
      <c r="V27" s="79">
        <f t="shared" si="9"/>
        <v>560</v>
      </c>
      <c r="W27" s="79">
        <f t="shared" si="10"/>
        <v>200</v>
      </c>
      <c r="X27" s="79">
        <f t="shared" si="11"/>
        <v>150</v>
      </c>
      <c r="Y27" s="79"/>
      <c r="Z27" s="79"/>
      <c r="AA27" s="78">
        <f t="shared" si="12"/>
        <v>932</v>
      </c>
    </row>
    <row r="28" spans="1:27" x14ac:dyDescent="0.25">
      <c r="A28" s="9"/>
      <c r="B28" s="9"/>
      <c r="C28" s="71"/>
      <c r="D28" s="9"/>
      <c r="E28" s="9"/>
      <c r="F28" s="9"/>
      <c r="G28" s="72"/>
      <c r="H28" s="69"/>
      <c r="I28" s="69"/>
      <c r="J28" s="69"/>
      <c r="K28" s="69"/>
      <c r="L28" s="69"/>
      <c r="M28" s="69"/>
      <c r="N28" s="69"/>
      <c r="O28" s="9"/>
      <c r="P28" s="9"/>
      <c r="Q28" s="73"/>
      <c r="R28" s="79"/>
      <c r="S28" s="79"/>
      <c r="T28" s="79"/>
      <c r="U28" s="79"/>
      <c r="V28" s="79"/>
      <c r="W28" s="79"/>
      <c r="X28" s="79"/>
      <c r="Y28" s="79"/>
      <c r="Z28" s="79"/>
      <c r="AA28" s="79"/>
    </row>
    <row r="29" spans="1:27" x14ac:dyDescent="0.25">
      <c r="A29" s="9"/>
      <c r="B29" s="9"/>
      <c r="C29" s="76" t="s">
        <v>60</v>
      </c>
      <c r="D29" s="9"/>
      <c r="E29" s="9"/>
      <c r="F29" s="9"/>
      <c r="G29" s="72"/>
      <c r="H29" s="69"/>
      <c r="I29" s="69"/>
      <c r="J29" s="69"/>
      <c r="K29" s="69"/>
      <c r="L29" s="69"/>
      <c r="M29" s="69"/>
      <c r="N29" s="69"/>
      <c r="O29" s="9"/>
      <c r="P29" s="9"/>
      <c r="Q29" s="73"/>
      <c r="R29" s="79"/>
      <c r="S29" s="79"/>
      <c r="T29" s="79"/>
      <c r="U29" s="79"/>
      <c r="V29" s="79"/>
      <c r="W29" s="79"/>
      <c r="X29" s="79"/>
      <c r="Y29" s="79"/>
      <c r="Z29" s="79"/>
      <c r="AA29" s="79"/>
    </row>
    <row r="30" spans="1:27" x14ac:dyDescent="0.25">
      <c r="A30" s="69" t="s">
        <v>10</v>
      </c>
      <c r="B30" s="69" t="s">
        <v>73</v>
      </c>
      <c r="C30" s="76"/>
      <c r="D30" s="9"/>
      <c r="E30" s="9"/>
      <c r="F30" s="9"/>
      <c r="G30" s="72"/>
      <c r="H30" s="69"/>
      <c r="I30" s="69"/>
      <c r="J30" s="69"/>
      <c r="K30" s="69"/>
      <c r="L30" s="69"/>
      <c r="M30" s="69"/>
      <c r="N30" s="69"/>
      <c r="O30" s="9"/>
      <c r="P30" s="9"/>
      <c r="Q30" s="73"/>
      <c r="R30" s="79"/>
      <c r="S30" s="79"/>
      <c r="T30" s="79"/>
      <c r="U30" s="79"/>
      <c r="V30" s="78">
        <f>K72</f>
        <v>370</v>
      </c>
      <c r="W30" s="78">
        <f t="shared" ref="W30:Y30" si="14">L72</f>
        <v>400</v>
      </c>
      <c r="X30" s="78">
        <f t="shared" si="14"/>
        <v>500</v>
      </c>
      <c r="Y30" s="78">
        <f t="shared" si="14"/>
        <v>500</v>
      </c>
      <c r="Z30" s="79"/>
      <c r="AA30" s="79"/>
    </row>
    <row r="31" spans="1:27" x14ac:dyDescent="0.25">
      <c r="A31" s="9" t="s">
        <v>10</v>
      </c>
      <c r="B31" s="9" t="s">
        <v>50</v>
      </c>
      <c r="C31" s="72">
        <v>4</v>
      </c>
      <c r="D31" s="9"/>
      <c r="E31" s="9"/>
      <c r="F31" s="9"/>
      <c r="G31" s="72"/>
      <c r="H31" s="69"/>
      <c r="I31" s="69"/>
      <c r="J31" s="69"/>
      <c r="K31" s="69"/>
      <c r="L31" s="69"/>
      <c r="M31" s="69"/>
      <c r="N31" s="69"/>
      <c r="O31" s="9"/>
      <c r="P31" s="9"/>
      <c r="Q31" s="73"/>
      <c r="R31" s="79"/>
      <c r="S31" s="79"/>
      <c r="T31" s="79"/>
      <c r="U31" s="79"/>
      <c r="V31" s="79">
        <f>K65</f>
        <v>370</v>
      </c>
      <c r="W31" s="79">
        <f>L65</f>
        <v>400</v>
      </c>
      <c r="X31" s="79">
        <f>M65</f>
        <v>500</v>
      </c>
      <c r="Y31" s="79">
        <f>N65</f>
        <v>500</v>
      </c>
      <c r="Z31" s="79"/>
      <c r="AA31" s="78">
        <f>SUM(V31:Z31)</f>
        <v>1770</v>
      </c>
    </row>
    <row r="32" spans="1:27" x14ac:dyDescent="0.25">
      <c r="A32" s="9" t="s">
        <v>10</v>
      </c>
      <c r="B32" s="9" t="s">
        <v>51</v>
      </c>
      <c r="C32" s="72">
        <v>3</v>
      </c>
      <c r="D32" s="9"/>
      <c r="E32" s="9"/>
      <c r="F32" s="9"/>
      <c r="G32" s="72"/>
      <c r="H32" s="69"/>
      <c r="I32" s="69"/>
      <c r="J32" s="69"/>
      <c r="K32" s="69"/>
      <c r="L32" s="69"/>
      <c r="M32" s="69"/>
      <c r="N32" s="69"/>
      <c r="O32" s="9"/>
      <c r="P32" s="9"/>
      <c r="Q32" s="73"/>
      <c r="R32" s="79"/>
      <c r="S32" s="79"/>
      <c r="T32" s="79"/>
      <c r="U32" s="79"/>
      <c r="V32" s="79">
        <f t="shared" ref="V32:V37" si="15">K66</f>
        <v>370</v>
      </c>
      <c r="W32" s="79">
        <f t="shared" ref="W32:Y37" si="16">L66</f>
        <v>400</v>
      </c>
      <c r="X32" s="79">
        <f t="shared" si="16"/>
        <v>500</v>
      </c>
      <c r="Y32" s="79">
        <f t="shared" si="16"/>
        <v>500</v>
      </c>
      <c r="Z32" s="79"/>
      <c r="AA32" s="78">
        <f t="shared" ref="AA32:AA37" si="17">SUM(V32:Z32)</f>
        <v>1770</v>
      </c>
    </row>
    <row r="33" spans="1:27" x14ac:dyDescent="0.25">
      <c r="A33" s="9" t="s">
        <v>10</v>
      </c>
      <c r="B33" s="9" t="s">
        <v>52</v>
      </c>
      <c r="C33" s="72">
        <v>3</v>
      </c>
      <c r="D33" s="9"/>
      <c r="E33" s="9"/>
      <c r="F33" s="9"/>
      <c r="G33" s="72"/>
      <c r="H33" s="69"/>
      <c r="I33" s="69"/>
      <c r="J33" s="69"/>
      <c r="K33" s="69"/>
      <c r="L33" s="69"/>
      <c r="M33" s="69"/>
      <c r="N33" s="69"/>
      <c r="O33" s="9"/>
      <c r="P33" s="9"/>
      <c r="Q33" s="73"/>
      <c r="R33" s="79"/>
      <c r="S33" s="79"/>
      <c r="T33" s="79"/>
      <c r="U33" s="79"/>
      <c r="V33" s="79">
        <f t="shared" si="15"/>
        <v>370</v>
      </c>
      <c r="W33" s="79">
        <f t="shared" si="16"/>
        <v>400</v>
      </c>
      <c r="X33" s="79">
        <f t="shared" si="16"/>
        <v>500</v>
      </c>
      <c r="Y33" s="79">
        <f t="shared" si="16"/>
        <v>500</v>
      </c>
      <c r="Z33" s="79"/>
      <c r="AA33" s="78">
        <f t="shared" si="17"/>
        <v>1770</v>
      </c>
    </row>
    <row r="34" spans="1:27" x14ac:dyDescent="0.25">
      <c r="A34" s="9" t="s">
        <v>10</v>
      </c>
      <c r="B34" s="9" t="s">
        <v>56</v>
      </c>
      <c r="C34" s="77" t="s">
        <v>59</v>
      </c>
      <c r="D34" s="9"/>
      <c r="E34" s="9"/>
      <c r="F34" s="9"/>
      <c r="G34" s="72"/>
      <c r="H34" s="69"/>
      <c r="I34" s="69"/>
      <c r="J34" s="69"/>
      <c r="K34" s="69"/>
      <c r="L34" s="69"/>
      <c r="M34" s="69"/>
      <c r="N34" s="69"/>
      <c r="O34" s="9"/>
      <c r="P34" s="9"/>
      <c r="Q34" s="73"/>
      <c r="R34" s="79"/>
      <c r="S34" s="79"/>
      <c r="T34" s="79"/>
      <c r="U34" s="79"/>
      <c r="V34" s="79">
        <f t="shared" si="15"/>
        <v>370</v>
      </c>
      <c r="W34" s="79">
        <f t="shared" si="16"/>
        <v>400</v>
      </c>
      <c r="X34" s="79">
        <f t="shared" si="16"/>
        <v>500</v>
      </c>
      <c r="Y34" s="79">
        <f t="shared" si="16"/>
        <v>500</v>
      </c>
      <c r="Z34" s="79"/>
      <c r="AA34" s="78">
        <f t="shared" si="17"/>
        <v>1770</v>
      </c>
    </row>
    <row r="35" spans="1:27" x14ac:dyDescent="0.25">
      <c r="A35" s="9" t="s">
        <v>10</v>
      </c>
      <c r="B35" s="9" t="s">
        <v>54</v>
      </c>
      <c r="C35" s="72">
        <v>3</v>
      </c>
      <c r="D35" s="9"/>
      <c r="E35" s="9"/>
      <c r="F35" s="9"/>
      <c r="G35" s="72"/>
      <c r="H35" s="69"/>
      <c r="I35" s="69"/>
      <c r="J35" s="69"/>
      <c r="K35" s="69"/>
      <c r="L35" s="69"/>
      <c r="M35" s="69"/>
      <c r="N35" s="69"/>
      <c r="O35" s="9"/>
      <c r="P35" s="9"/>
      <c r="Q35" s="73"/>
      <c r="R35" s="79"/>
      <c r="S35" s="79"/>
      <c r="T35" s="79"/>
      <c r="U35" s="79"/>
      <c r="V35" s="79">
        <f t="shared" si="15"/>
        <v>370</v>
      </c>
      <c r="W35" s="79">
        <f t="shared" si="16"/>
        <v>400</v>
      </c>
      <c r="X35" s="79">
        <f t="shared" si="16"/>
        <v>500</v>
      </c>
      <c r="Y35" s="79">
        <f t="shared" si="16"/>
        <v>500</v>
      </c>
      <c r="Z35" s="79"/>
      <c r="AA35" s="78">
        <f t="shared" si="17"/>
        <v>1770</v>
      </c>
    </row>
    <row r="36" spans="1:27" x14ac:dyDescent="0.25">
      <c r="A36" s="9" t="s">
        <v>10</v>
      </c>
      <c r="B36" s="9" t="s">
        <v>55</v>
      </c>
      <c r="C36" s="72">
        <v>3</v>
      </c>
      <c r="D36" s="9"/>
      <c r="E36" s="9"/>
      <c r="F36" s="9"/>
      <c r="G36" s="72"/>
      <c r="H36" s="69"/>
      <c r="I36" s="69"/>
      <c r="J36" s="69"/>
      <c r="K36" s="69"/>
      <c r="L36" s="69"/>
      <c r="M36" s="69"/>
      <c r="N36" s="69"/>
      <c r="O36" s="9"/>
      <c r="P36" s="9"/>
      <c r="Q36" s="73"/>
      <c r="R36" s="79"/>
      <c r="S36" s="79"/>
      <c r="T36" s="79"/>
      <c r="U36" s="79"/>
      <c r="V36" s="79">
        <f t="shared" si="15"/>
        <v>370</v>
      </c>
      <c r="W36" s="79">
        <f t="shared" si="16"/>
        <v>400</v>
      </c>
      <c r="X36" s="79">
        <f t="shared" si="16"/>
        <v>500</v>
      </c>
      <c r="Y36" s="79">
        <f t="shared" si="16"/>
        <v>500</v>
      </c>
      <c r="Z36" s="79"/>
      <c r="AA36" s="78">
        <f t="shared" si="17"/>
        <v>1770</v>
      </c>
    </row>
    <row r="37" spans="1:27" x14ac:dyDescent="0.25">
      <c r="A37" s="9" t="s">
        <v>10</v>
      </c>
      <c r="B37" s="9" t="s">
        <v>53</v>
      </c>
      <c r="C37" s="72">
        <v>3</v>
      </c>
      <c r="D37" s="9"/>
      <c r="E37" s="9"/>
      <c r="F37" s="9"/>
      <c r="G37" s="72"/>
      <c r="H37" s="69"/>
      <c r="I37" s="69"/>
      <c r="J37" s="69"/>
      <c r="K37" s="69"/>
      <c r="L37" s="69"/>
      <c r="M37" s="69"/>
      <c r="N37" s="69"/>
      <c r="O37" s="9"/>
      <c r="P37" s="9"/>
      <c r="Q37" s="73"/>
      <c r="R37" s="79"/>
      <c r="S37" s="79"/>
      <c r="T37" s="79"/>
      <c r="U37" s="79"/>
      <c r="V37" s="79">
        <f t="shared" si="15"/>
        <v>740</v>
      </c>
      <c r="W37" s="79">
        <f t="shared" si="16"/>
        <v>800</v>
      </c>
      <c r="X37" s="79">
        <f t="shared" si="16"/>
        <v>1000</v>
      </c>
      <c r="Y37" s="79">
        <f t="shared" si="16"/>
        <v>1000</v>
      </c>
      <c r="Z37" s="79"/>
      <c r="AA37" s="78">
        <f t="shared" si="17"/>
        <v>3540</v>
      </c>
    </row>
    <row r="38" spans="1:27" x14ac:dyDescent="0.25">
      <c r="B38" s="9"/>
      <c r="C38" s="71"/>
      <c r="D38" s="9"/>
      <c r="E38" s="9"/>
      <c r="F38" s="9"/>
      <c r="G38" s="72"/>
      <c r="H38" s="69"/>
      <c r="I38" s="69"/>
      <c r="J38" s="69"/>
      <c r="K38" s="69"/>
      <c r="L38" s="69"/>
      <c r="M38" s="69"/>
      <c r="N38" s="69"/>
      <c r="O38" s="9"/>
      <c r="P38" s="9"/>
      <c r="Q38" s="73"/>
      <c r="R38" s="71"/>
      <c r="S38" s="71"/>
      <c r="T38" s="71"/>
      <c r="U38" s="71"/>
      <c r="V38" s="71"/>
      <c r="W38" s="71"/>
      <c r="X38" s="71"/>
      <c r="Y38" s="71"/>
      <c r="Z38" s="9"/>
      <c r="AA38" s="9"/>
    </row>
    <row r="39" spans="1:27" x14ac:dyDescent="0.25">
      <c r="A39" s="9"/>
      <c r="B39" s="9" t="s">
        <v>74</v>
      </c>
      <c r="C39" s="71"/>
      <c r="D39" s="9"/>
      <c r="E39" s="9"/>
      <c r="F39" s="9"/>
      <c r="G39" s="72"/>
      <c r="H39" s="69"/>
      <c r="I39" s="69"/>
      <c r="J39" s="69"/>
      <c r="K39" s="69"/>
      <c r="L39" s="69"/>
      <c r="M39" s="69"/>
      <c r="N39" s="69"/>
      <c r="O39" s="9"/>
      <c r="P39" s="9"/>
      <c r="Q39" s="73"/>
      <c r="R39" s="78"/>
      <c r="S39" s="78"/>
      <c r="T39" s="78"/>
      <c r="U39" s="79"/>
      <c r="V39" s="79">
        <f>V30</f>
        <v>370</v>
      </c>
      <c r="W39" s="79">
        <f t="shared" ref="W39:Y39" si="18">W30</f>
        <v>400</v>
      </c>
      <c r="X39" s="79">
        <f t="shared" si="18"/>
        <v>500</v>
      </c>
      <c r="Y39" s="79">
        <f t="shared" si="18"/>
        <v>500</v>
      </c>
      <c r="Z39" s="79"/>
      <c r="AA39" s="78">
        <f t="shared" ref="AA39" si="19">SUM(U39:Z39)</f>
        <v>1770</v>
      </c>
    </row>
    <row r="40" spans="1:27" x14ac:dyDescent="0.25">
      <c r="B40" s="9"/>
      <c r="C40" s="71"/>
      <c r="D40" s="9"/>
      <c r="E40" s="9"/>
      <c r="F40" s="9"/>
      <c r="G40" s="72"/>
      <c r="H40" s="69"/>
      <c r="I40" s="69"/>
      <c r="J40" s="69"/>
      <c r="K40" s="69"/>
      <c r="L40" s="69"/>
      <c r="M40" s="69"/>
      <c r="N40" s="69"/>
      <c r="O40" s="9"/>
      <c r="P40" s="9"/>
      <c r="Q40" s="73"/>
      <c r="R40" s="71"/>
      <c r="S40" s="71"/>
      <c r="T40" s="71"/>
      <c r="U40" s="71"/>
      <c r="V40" s="71"/>
      <c r="W40" s="71"/>
      <c r="X40" s="71"/>
      <c r="Y40" s="71"/>
      <c r="Z40" s="9"/>
      <c r="AA40" s="9"/>
    </row>
    <row r="41" spans="1:27" hidden="1" x14ac:dyDescent="0.25">
      <c r="B41" s="9"/>
      <c r="C41" s="71"/>
      <c r="D41" s="9"/>
      <c r="E41" s="9"/>
      <c r="F41" s="9"/>
      <c r="G41" s="72"/>
      <c r="H41" s="69"/>
      <c r="I41" s="69"/>
      <c r="J41" s="69"/>
      <c r="K41" s="69"/>
      <c r="L41" s="69"/>
      <c r="M41" s="69"/>
      <c r="N41" s="69"/>
      <c r="O41" s="9"/>
      <c r="P41" s="9"/>
      <c r="Q41" s="73"/>
      <c r="R41" s="71"/>
      <c r="S41" s="71"/>
      <c r="T41" s="71"/>
      <c r="U41" s="71"/>
      <c r="V41" s="71"/>
      <c r="W41" s="71"/>
      <c r="X41" s="71"/>
      <c r="Y41" s="71"/>
      <c r="Z41" s="9"/>
      <c r="AA41" s="9"/>
    </row>
    <row r="42" spans="1:27" hidden="1" x14ac:dyDescent="0.25">
      <c r="B42" s="9"/>
      <c r="C42" s="71"/>
      <c r="D42" s="9"/>
      <c r="E42" s="9"/>
      <c r="F42" s="9"/>
      <c r="G42" s="72"/>
      <c r="H42" s="69"/>
      <c r="I42" s="69"/>
      <c r="J42" s="69"/>
      <c r="K42" s="69"/>
      <c r="L42" s="69"/>
      <c r="M42" s="69"/>
      <c r="N42" s="69"/>
      <c r="O42" s="9"/>
      <c r="P42" s="9"/>
      <c r="Q42" s="9"/>
      <c r="R42" s="9"/>
      <c r="S42" s="9"/>
      <c r="T42" s="9"/>
      <c r="U42" s="9"/>
      <c r="V42" s="75"/>
      <c r="W42" s="9"/>
      <c r="X42" s="9"/>
      <c r="Y42" s="9"/>
      <c r="Z42" s="9"/>
      <c r="AA42" s="9"/>
    </row>
    <row r="43" spans="1:27" hidden="1" x14ac:dyDescent="0.25">
      <c r="B43" s="9" t="s">
        <v>43</v>
      </c>
      <c r="C43" s="71"/>
      <c r="D43" s="71"/>
      <c r="E43" s="71"/>
      <c r="F43" s="71"/>
      <c r="G43" s="71"/>
      <c r="H43" s="71"/>
      <c r="I43" s="71"/>
      <c r="J43" s="71">
        <f>J45</f>
        <v>7300</v>
      </c>
      <c r="K43" s="71">
        <f t="shared" ref="K43:N43" si="20">K45</f>
        <v>9000</v>
      </c>
      <c r="L43" s="71">
        <f t="shared" si="20"/>
        <v>9567</v>
      </c>
      <c r="M43" s="71">
        <f t="shared" si="20"/>
        <v>9000</v>
      </c>
      <c r="N43" s="71">
        <f t="shared" si="20"/>
        <v>7700</v>
      </c>
      <c r="O43" s="71"/>
      <c r="P43" s="71"/>
      <c r="Q43" s="9"/>
      <c r="R43" s="9"/>
      <c r="S43" s="9"/>
      <c r="T43" s="9"/>
      <c r="U43" s="9"/>
      <c r="V43" s="75"/>
      <c r="W43" s="9"/>
      <c r="X43" s="9"/>
      <c r="Y43" s="9"/>
      <c r="Z43" s="9"/>
      <c r="AA43" s="75"/>
    </row>
    <row r="44" spans="1:27" hidden="1" x14ac:dyDescent="0.25">
      <c r="B44" s="9" t="s">
        <v>44</v>
      </c>
      <c r="C44" s="71"/>
      <c r="D44" s="71"/>
      <c r="E44" s="71"/>
      <c r="F44" s="71"/>
      <c r="G44" s="71"/>
      <c r="H44" s="71"/>
      <c r="I44" s="71"/>
      <c r="J44" s="71">
        <f>J45</f>
        <v>7300</v>
      </c>
      <c r="K44" s="71">
        <f t="shared" ref="K44" si="21">K45</f>
        <v>9000</v>
      </c>
      <c r="L44" s="71">
        <f t="shared" ref="L44" si="22">L45</f>
        <v>9567</v>
      </c>
      <c r="M44" s="71">
        <f t="shared" ref="M44" si="23">M45</f>
        <v>9000</v>
      </c>
      <c r="N44" s="71">
        <f t="shared" ref="N44" si="24">N45</f>
        <v>7700</v>
      </c>
      <c r="O44" s="71"/>
      <c r="P44" s="71"/>
      <c r="Q44" s="9"/>
      <c r="R44" s="9"/>
      <c r="S44" s="9"/>
      <c r="T44" s="9"/>
      <c r="U44" s="9"/>
      <c r="V44" s="75"/>
      <c r="W44" s="9"/>
      <c r="X44" s="9"/>
      <c r="Y44" s="9"/>
      <c r="Z44" s="9"/>
      <c r="AA44" s="9"/>
    </row>
    <row r="45" spans="1:27" hidden="1" x14ac:dyDescent="0.25">
      <c r="B45" s="69" t="s">
        <v>5</v>
      </c>
      <c r="C45" s="72">
        <v>47000</v>
      </c>
      <c r="D45" s="72">
        <v>476</v>
      </c>
      <c r="E45" s="72">
        <v>2247</v>
      </c>
      <c r="F45" s="72"/>
      <c r="G45" s="72">
        <f>C45-D45-E45</f>
        <v>44277</v>
      </c>
      <c r="H45" s="72">
        <v>1710</v>
      </c>
      <c r="I45" s="72"/>
      <c r="J45" s="72">
        <v>7300</v>
      </c>
      <c r="K45" s="72">
        <v>9000</v>
      </c>
      <c r="L45" s="72">
        <v>9567</v>
      </c>
      <c r="M45" s="72">
        <v>9000</v>
      </c>
      <c r="N45" s="72">
        <v>7700</v>
      </c>
      <c r="O45" s="72"/>
      <c r="P45" s="72">
        <f>G45-H45-I45-K45-L45-M45-N45-O45-J45</f>
        <v>0</v>
      </c>
      <c r="Q45" s="69"/>
      <c r="R45" s="69"/>
      <c r="S45" s="69"/>
      <c r="T45" s="69"/>
      <c r="U45" s="69"/>
      <c r="V45" s="1"/>
      <c r="W45" s="1"/>
      <c r="X45" s="1"/>
      <c r="Y45" s="1"/>
      <c r="Z45" s="1"/>
      <c r="AA45" s="1"/>
    </row>
    <row r="46" spans="1:27" hidden="1" x14ac:dyDescent="0.25">
      <c r="B46" s="9" t="s">
        <v>43</v>
      </c>
      <c r="C46" s="71"/>
      <c r="D46" s="71"/>
      <c r="E46" s="71"/>
      <c r="F46" s="71"/>
      <c r="G46" s="71"/>
      <c r="H46" s="71"/>
      <c r="I46" s="71"/>
      <c r="J46" s="71">
        <f>J48</f>
        <v>6049</v>
      </c>
      <c r="K46" s="71">
        <f t="shared" ref="K46:N46" si="25">K48</f>
        <v>7000</v>
      </c>
      <c r="L46" s="71">
        <f t="shared" si="25"/>
        <v>7000</v>
      </c>
      <c r="M46" s="71">
        <f t="shared" si="25"/>
        <v>7000</v>
      </c>
      <c r="N46" s="71">
        <f t="shared" si="25"/>
        <v>7000</v>
      </c>
      <c r="O46" s="71"/>
      <c r="P46" s="71"/>
      <c r="Q46" s="9"/>
      <c r="R46" s="9"/>
      <c r="S46" s="9"/>
      <c r="T46" s="9"/>
      <c r="U46" s="9"/>
    </row>
    <row r="47" spans="1:27" hidden="1" x14ac:dyDescent="0.25">
      <c r="B47" s="9" t="s">
        <v>44</v>
      </c>
      <c r="C47" s="71"/>
      <c r="D47" s="71"/>
      <c r="E47" s="71"/>
      <c r="F47" s="71"/>
      <c r="G47" s="71"/>
      <c r="H47" s="71"/>
      <c r="I47" s="71"/>
      <c r="J47" s="71">
        <f>J48</f>
        <v>6049</v>
      </c>
      <c r="K47" s="71">
        <f t="shared" ref="K47" si="26">K48</f>
        <v>7000</v>
      </c>
      <c r="L47" s="71">
        <f t="shared" ref="L47" si="27">L48</f>
        <v>7000</v>
      </c>
      <c r="M47" s="71">
        <f t="shared" ref="M47" si="28">M48</f>
        <v>7000</v>
      </c>
      <c r="N47" s="71">
        <f t="shared" ref="N47" si="29">N48</f>
        <v>7000</v>
      </c>
      <c r="O47" s="71"/>
      <c r="P47" s="71"/>
      <c r="Q47" s="80"/>
      <c r="R47" s="81"/>
      <c r="S47" s="81"/>
      <c r="T47" s="81"/>
    </row>
    <row r="48" spans="1:27" hidden="1" x14ac:dyDescent="0.25">
      <c r="B48" s="69" t="s">
        <v>6</v>
      </c>
      <c r="C48" s="72">
        <v>37000</v>
      </c>
      <c r="D48" s="72">
        <v>0</v>
      </c>
      <c r="E48" s="72">
        <v>2011</v>
      </c>
      <c r="F48" s="72"/>
      <c r="G48" s="72">
        <f>C48-D48-E48</f>
        <v>34989</v>
      </c>
      <c r="H48" s="72">
        <v>940</v>
      </c>
      <c r="I48" s="72"/>
      <c r="J48" s="72">
        <v>6049</v>
      </c>
      <c r="K48" s="72">
        <v>7000</v>
      </c>
      <c r="L48" s="72">
        <v>7000</v>
      </c>
      <c r="M48" s="72">
        <v>7000</v>
      </c>
      <c r="N48" s="72">
        <v>7000</v>
      </c>
      <c r="O48" s="72"/>
      <c r="P48" s="72">
        <f>G48-H48-I48-K48-L48-M48-N48-O48-J48</f>
        <v>0</v>
      </c>
      <c r="Q48" s="74"/>
      <c r="R48" s="69"/>
      <c r="S48" s="69"/>
      <c r="T48" s="69"/>
      <c r="U48" s="1"/>
      <c r="V48" s="1"/>
      <c r="W48" s="1"/>
      <c r="X48" s="1"/>
      <c r="Y48" s="1"/>
      <c r="Z48" s="1"/>
      <c r="AA48" s="1"/>
    </row>
    <row r="49" spans="2:27" hidden="1" x14ac:dyDescent="0.25">
      <c r="B49" s="9" t="s">
        <v>43</v>
      </c>
      <c r="C49" s="71"/>
      <c r="D49" s="71"/>
      <c r="E49" s="71"/>
      <c r="F49" s="71"/>
      <c r="G49" s="71"/>
      <c r="H49" s="71"/>
      <c r="I49" s="71">
        <f>I51</f>
        <v>2170</v>
      </c>
      <c r="J49" s="71"/>
      <c r="K49" s="71"/>
      <c r="L49" s="71"/>
      <c r="M49" s="71"/>
      <c r="N49" s="71"/>
      <c r="O49" s="71"/>
      <c r="P49" s="71"/>
      <c r="Q49" s="73"/>
      <c r="R49" s="9"/>
      <c r="S49" s="9"/>
      <c r="T49" s="9"/>
    </row>
    <row r="50" spans="2:27" hidden="1" x14ac:dyDescent="0.25">
      <c r="B50" s="9" t="s">
        <v>44</v>
      </c>
      <c r="C50" s="71"/>
      <c r="D50" s="71"/>
      <c r="E50" s="71"/>
      <c r="F50" s="71"/>
      <c r="G50" s="71"/>
      <c r="H50" s="71"/>
      <c r="I50" s="71">
        <f>I51</f>
        <v>2170</v>
      </c>
      <c r="J50" s="71"/>
      <c r="K50" s="71"/>
      <c r="L50" s="71"/>
      <c r="M50" s="71"/>
      <c r="N50" s="71"/>
      <c r="O50" s="71"/>
      <c r="P50" s="71"/>
      <c r="Q50" s="73"/>
      <c r="R50" s="9"/>
      <c r="S50" s="9"/>
      <c r="T50" s="9"/>
    </row>
    <row r="51" spans="2:27" hidden="1" x14ac:dyDescent="0.25">
      <c r="B51" s="69" t="s">
        <v>7</v>
      </c>
      <c r="C51" s="72">
        <v>7675</v>
      </c>
      <c r="D51" s="72">
        <v>272</v>
      </c>
      <c r="E51" s="72">
        <v>283</v>
      </c>
      <c r="F51" s="72">
        <v>3700</v>
      </c>
      <c r="G51" s="72">
        <f t="shared" ref="G51" si="30">C51-D51-E51</f>
        <v>7120</v>
      </c>
      <c r="H51" s="72">
        <v>3350</v>
      </c>
      <c r="I51" s="72">
        <v>2170</v>
      </c>
      <c r="J51" s="72"/>
      <c r="K51" s="72"/>
      <c r="L51" s="72"/>
      <c r="M51" s="72"/>
      <c r="N51" s="72"/>
      <c r="O51" s="72"/>
      <c r="P51" s="72">
        <f>G51-H51-I51-K54-L51-M51-N51-O51-J54-I54</f>
        <v>0</v>
      </c>
      <c r="Q51" s="74"/>
      <c r="R51" s="69"/>
      <c r="S51" s="69"/>
      <c r="T51" s="69"/>
      <c r="U51" s="1"/>
      <c r="V51" s="1"/>
      <c r="W51" s="1"/>
      <c r="X51" s="1"/>
      <c r="Y51" s="1"/>
      <c r="Z51" s="1"/>
      <c r="AA51" s="1"/>
    </row>
    <row r="52" spans="2:27" hidden="1" x14ac:dyDescent="0.25">
      <c r="B52" s="9" t="s">
        <v>43</v>
      </c>
      <c r="C52" s="71"/>
      <c r="D52" s="71"/>
      <c r="E52" s="71"/>
      <c r="F52" s="71"/>
      <c r="G52" s="71"/>
      <c r="H52" s="71"/>
      <c r="I52" s="71"/>
      <c r="J52" s="71">
        <f>J54</f>
        <v>800</v>
      </c>
      <c r="K52" s="71">
        <f t="shared" ref="K52" si="31">K54</f>
        <v>800</v>
      </c>
      <c r="L52" s="71"/>
      <c r="M52" s="71"/>
      <c r="N52" s="71"/>
      <c r="O52" s="71"/>
      <c r="P52" s="71"/>
      <c r="Q52" s="73"/>
      <c r="R52" s="9"/>
      <c r="S52" s="9"/>
      <c r="T52" s="9"/>
    </row>
    <row r="53" spans="2:27" hidden="1" x14ac:dyDescent="0.25">
      <c r="B53" s="9" t="s">
        <v>44</v>
      </c>
      <c r="C53" s="71"/>
      <c r="D53" s="71"/>
      <c r="E53" s="71"/>
      <c r="F53" s="71"/>
      <c r="G53" s="71"/>
      <c r="H53" s="71"/>
      <c r="I53" s="71"/>
      <c r="J53" s="71">
        <f>J54</f>
        <v>800</v>
      </c>
      <c r="K53" s="71">
        <f t="shared" ref="K53" si="32">K54</f>
        <v>800</v>
      </c>
      <c r="L53" s="71"/>
      <c r="M53" s="71"/>
      <c r="N53" s="71"/>
      <c r="O53" s="71"/>
      <c r="P53" s="71"/>
      <c r="Q53" s="73"/>
      <c r="R53" s="9"/>
      <c r="S53" s="9"/>
      <c r="T53" s="9"/>
    </row>
    <row r="54" spans="2:27" hidden="1" x14ac:dyDescent="0.25">
      <c r="B54" s="69" t="s">
        <v>32</v>
      </c>
      <c r="C54" s="72"/>
      <c r="D54" s="72"/>
      <c r="E54" s="72"/>
      <c r="F54" s="72"/>
      <c r="G54" s="72"/>
      <c r="H54" s="72"/>
      <c r="I54" s="72"/>
      <c r="J54" s="72">
        <v>800</v>
      </c>
      <c r="K54" s="72">
        <v>800</v>
      </c>
      <c r="L54" s="72"/>
      <c r="M54" s="72"/>
      <c r="N54" s="72"/>
      <c r="O54" s="72"/>
      <c r="P54" s="72"/>
      <c r="Q54" s="74"/>
      <c r="R54" s="69"/>
      <c r="S54" s="69"/>
      <c r="T54" s="69"/>
      <c r="U54" s="1"/>
      <c r="V54" s="1"/>
      <c r="W54" s="1"/>
      <c r="X54" s="1"/>
      <c r="Y54" s="1"/>
      <c r="Z54" s="1"/>
      <c r="AA54" s="1"/>
    </row>
    <row r="55" spans="2:27" hidden="1" x14ac:dyDescent="0.25">
      <c r="B55" s="69" t="s">
        <v>8</v>
      </c>
      <c r="C55" s="72">
        <v>8358</v>
      </c>
      <c r="D55" s="72">
        <v>0</v>
      </c>
      <c r="E55" s="72">
        <v>0</v>
      </c>
      <c r="F55" s="72">
        <v>5000</v>
      </c>
      <c r="G55" s="72">
        <f t="shared" ref="G55" si="33">C55-D55-E55</f>
        <v>8358</v>
      </c>
      <c r="H55" s="72"/>
      <c r="I55" s="72"/>
      <c r="J55" s="72"/>
      <c r="K55" s="72"/>
      <c r="L55" s="72"/>
      <c r="M55" s="72"/>
      <c r="N55" s="72"/>
      <c r="O55" s="72"/>
      <c r="P55" s="72">
        <f>G55-H55-I55-K56-L56-M55-N55-O55-J56-I56</f>
        <v>0</v>
      </c>
      <c r="Q55" s="73"/>
      <c r="R55" s="9"/>
      <c r="S55" s="9"/>
      <c r="T55" s="9"/>
    </row>
    <row r="56" spans="2:27" hidden="1" x14ac:dyDescent="0.25">
      <c r="B56" s="69" t="s">
        <v>33</v>
      </c>
      <c r="C56" s="72"/>
      <c r="D56" s="72"/>
      <c r="E56" s="72"/>
      <c r="F56" s="72"/>
      <c r="G56" s="72"/>
      <c r="H56" s="72"/>
      <c r="I56" s="72">
        <v>5000</v>
      </c>
      <c r="J56" s="72">
        <v>1500</v>
      </c>
      <c r="K56" s="72">
        <v>1500</v>
      </c>
      <c r="L56" s="72">
        <v>358</v>
      </c>
      <c r="M56" s="72"/>
      <c r="N56" s="72"/>
      <c r="O56" s="72"/>
      <c r="P56" s="72"/>
      <c r="Q56" s="73"/>
      <c r="R56" s="9"/>
      <c r="S56" s="9"/>
      <c r="T56" s="9"/>
    </row>
    <row r="57" spans="2:27" hidden="1" x14ac:dyDescent="0.25">
      <c r="B57" s="69" t="s">
        <v>13</v>
      </c>
      <c r="C57" s="72">
        <v>21000</v>
      </c>
      <c r="D57" s="72">
        <v>0</v>
      </c>
      <c r="E57" s="72">
        <v>5</v>
      </c>
      <c r="F57" s="72"/>
      <c r="G57" s="72">
        <f t="shared" ref="G57:G58" si="34">C57-D57-E57</f>
        <v>20995</v>
      </c>
      <c r="H57" s="72"/>
      <c r="I57" s="72"/>
      <c r="J57" s="72">
        <v>1000</v>
      </c>
      <c r="K57" s="72">
        <v>3500</v>
      </c>
      <c r="L57" s="72">
        <v>5300</v>
      </c>
      <c r="M57" s="72">
        <f>5195-500+1000</f>
        <v>5695</v>
      </c>
      <c r="N57" s="72">
        <v>5500</v>
      </c>
      <c r="O57" s="72"/>
      <c r="P57" s="72">
        <f t="shared" ref="P57:P58" si="35">G57-H57-I57-K57-L57-M57-N57-O57-J57</f>
        <v>0</v>
      </c>
      <c r="Q57" s="73"/>
      <c r="R57" s="9"/>
      <c r="S57" s="9"/>
      <c r="T57" s="9"/>
    </row>
    <row r="58" spans="2:27" hidden="1" x14ac:dyDescent="0.25">
      <c r="B58" s="69" t="s">
        <v>12</v>
      </c>
      <c r="C58" s="72">
        <v>15000</v>
      </c>
      <c r="D58" s="72">
        <v>0</v>
      </c>
      <c r="E58" s="72">
        <v>0</v>
      </c>
      <c r="F58" s="72"/>
      <c r="G58" s="72">
        <f t="shared" si="34"/>
        <v>15000</v>
      </c>
      <c r="H58" s="72"/>
      <c r="I58" s="72"/>
      <c r="J58" s="72">
        <v>1000</v>
      </c>
      <c r="K58" s="72">
        <v>3500</v>
      </c>
      <c r="L58" s="72">
        <v>3500</v>
      </c>
      <c r="M58" s="72">
        <v>5000</v>
      </c>
      <c r="N58" s="72">
        <v>2000</v>
      </c>
      <c r="O58" s="72"/>
      <c r="P58" s="72">
        <f t="shared" si="35"/>
        <v>0</v>
      </c>
      <c r="Q58" s="73"/>
      <c r="R58" s="9"/>
      <c r="S58" s="9"/>
      <c r="T58" s="9"/>
    </row>
    <row r="59" spans="2:27" ht="19.5" hidden="1" thickBot="1" x14ac:dyDescent="0.35">
      <c r="B59" s="32" t="s">
        <v>14</v>
      </c>
      <c r="C59" s="33">
        <f>SUM(C45:C58)</f>
        <v>136033</v>
      </c>
      <c r="D59" s="34"/>
      <c r="E59" s="35"/>
      <c r="F59" s="55"/>
      <c r="G59" s="36">
        <f>SUM(G45,G48,G51,G55,G57,G58,G56)</f>
        <v>130739</v>
      </c>
      <c r="H59" s="36">
        <f t="shared" ref="H59" si="36">SUM(H45,H48,H51,H55,H57,H58,H56)</f>
        <v>6000</v>
      </c>
      <c r="I59" s="36">
        <f t="shared" ref="I59" si="37">SUM(I45,I48,I51,I55,I57,I58,I56)</f>
        <v>7170</v>
      </c>
      <c r="J59" s="36">
        <f t="shared" ref="J59" si="38">SUM(J45,J48,J51,J55,J57,J58,J56)</f>
        <v>16849</v>
      </c>
      <c r="K59" s="36">
        <f t="shared" ref="K59" si="39">SUM(K45,K48,K51,K55,K57,K58,K56)</f>
        <v>24500</v>
      </c>
      <c r="L59" s="36">
        <f t="shared" ref="L59" si="40">SUM(L45,L48,L51,L55,L57,L58,L56)</f>
        <v>25725</v>
      </c>
      <c r="M59" s="36">
        <f t="shared" ref="M59" si="41">SUM(M45,M48,M51,M55,M57,M58,M56)</f>
        <v>26695</v>
      </c>
      <c r="N59" s="36">
        <f t="shared" ref="N59" si="42">SUM(N45,N48,N51,N55,N57,N58,N56)</f>
        <v>22200</v>
      </c>
      <c r="O59" s="36">
        <f t="shared" ref="O59" si="43">SUM(O45,O48,O51,O55,O57,O58,O56)</f>
        <v>0</v>
      </c>
      <c r="P59" s="36">
        <f t="shared" ref="P59" si="44">SUM(P45,P48,P51,P55,P57,P58,P56)</f>
        <v>0</v>
      </c>
      <c r="R59" s="9"/>
      <c r="S59" s="9"/>
      <c r="T59" s="71"/>
    </row>
    <row r="60" spans="2:27" hidden="1" x14ac:dyDescent="0.25">
      <c r="B60" s="9" t="s">
        <v>46</v>
      </c>
      <c r="C60" s="9"/>
      <c r="D60" s="9"/>
      <c r="E60" s="9"/>
      <c r="F60" s="9"/>
      <c r="G60" s="9"/>
      <c r="H60" s="9"/>
      <c r="I60" s="9">
        <f>I64</f>
        <v>365</v>
      </c>
      <c r="J60" s="9">
        <f t="shared" ref="J60:L60" si="45">J64</f>
        <v>460</v>
      </c>
      <c r="K60" s="9">
        <f t="shared" si="45"/>
        <v>100</v>
      </c>
      <c r="L60" s="9">
        <f t="shared" si="45"/>
        <v>100</v>
      </c>
      <c r="M60" s="9"/>
      <c r="N60" s="9"/>
      <c r="O60" s="9"/>
      <c r="P60" s="9"/>
      <c r="Q60" s="73"/>
      <c r="R60" s="9"/>
      <c r="S60" s="9"/>
      <c r="T60" s="9"/>
    </row>
    <row r="61" spans="2:27" hidden="1" x14ac:dyDescent="0.25">
      <c r="B61" s="9" t="s">
        <v>47</v>
      </c>
      <c r="C61" s="9"/>
      <c r="D61" s="9"/>
      <c r="E61" s="9"/>
      <c r="F61" s="9"/>
      <c r="G61" s="9"/>
      <c r="H61" s="9"/>
      <c r="I61" s="9">
        <f>I60</f>
        <v>365</v>
      </c>
      <c r="J61" s="9">
        <f t="shared" ref="J61" si="46">J60</f>
        <v>460</v>
      </c>
      <c r="K61" s="9">
        <f t="shared" ref="K61" si="47">K60</f>
        <v>100</v>
      </c>
      <c r="L61" s="9">
        <f t="shared" ref="L61" si="48">L60</f>
        <v>100</v>
      </c>
      <c r="M61" s="9"/>
      <c r="N61" s="9"/>
      <c r="O61" s="9"/>
      <c r="P61" s="9"/>
      <c r="Q61" s="73"/>
      <c r="R61" s="9"/>
      <c r="S61" s="9"/>
      <c r="T61" s="9"/>
    </row>
    <row r="62" spans="2:27" hidden="1" x14ac:dyDescent="0.25">
      <c r="B62" s="9" t="s">
        <v>48</v>
      </c>
      <c r="C62" s="9"/>
      <c r="D62" s="9"/>
      <c r="E62" s="9"/>
      <c r="F62" s="9"/>
      <c r="G62" s="9"/>
      <c r="H62" s="9"/>
      <c r="I62" s="9">
        <f>I64</f>
        <v>365</v>
      </c>
      <c r="J62" s="9">
        <f t="shared" ref="J62:L62" si="49">J64</f>
        <v>460</v>
      </c>
      <c r="K62" s="9">
        <f t="shared" si="49"/>
        <v>100</v>
      </c>
      <c r="L62" s="9">
        <f t="shared" si="49"/>
        <v>100</v>
      </c>
      <c r="M62" s="9"/>
      <c r="N62" s="9"/>
      <c r="O62" s="9"/>
      <c r="P62" s="9"/>
      <c r="Q62" s="73"/>
      <c r="R62" s="9"/>
      <c r="S62" s="9"/>
      <c r="T62" s="9"/>
    </row>
    <row r="63" spans="2:27" hidden="1" x14ac:dyDescent="0.25">
      <c r="B63" s="9" t="s">
        <v>49</v>
      </c>
      <c r="C63" s="9"/>
      <c r="D63" s="9"/>
      <c r="E63" s="9"/>
      <c r="F63" s="9"/>
      <c r="G63" s="9"/>
      <c r="H63" s="9"/>
      <c r="I63" s="9">
        <f>I64</f>
        <v>365</v>
      </c>
      <c r="J63" s="9">
        <f t="shared" ref="J63" si="50">J64</f>
        <v>460</v>
      </c>
      <c r="K63" s="9">
        <f t="shared" ref="K63" si="51">K64</f>
        <v>100</v>
      </c>
      <c r="L63" s="9">
        <f t="shared" ref="L63" si="52">L64</f>
        <v>100</v>
      </c>
      <c r="M63" s="9"/>
      <c r="N63" s="9"/>
      <c r="O63" s="9"/>
      <c r="P63" s="9"/>
      <c r="Q63" s="73"/>
      <c r="R63" s="9"/>
      <c r="S63" s="9"/>
      <c r="T63" s="9"/>
    </row>
    <row r="64" spans="2:27" hidden="1" x14ac:dyDescent="0.25">
      <c r="B64" s="69" t="s">
        <v>15</v>
      </c>
      <c r="C64" s="72">
        <v>1160</v>
      </c>
      <c r="D64" s="69">
        <v>0</v>
      </c>
      <c r="E64" s="69">
        <v>0</v>
      </c>
      <c r="F64" s="69"/>
      <c r="G64" s="72">
        <f>C64-D64-E64</f>
        <v>1160</v>
      </c>
      <c r="H64" s="69">
        <v>135</v>
      </c>
      <c r="I64" s="69">
        <v>365</v>
      </c>
      <c r="J64" s="69">
        <v>460</v>
      </c>
      <c r="K64" s="69">
        <v>100</v>
      </c>
      <c r="L64" s="69">
        <v>100</v>
      </c>
      <c r="M64" s="69"/>
      <c r="N64" s="69"/>
      <c r="O64" s="69"/>
      <c r="P64" s="69">
        <f t="shared" ref="P64" si="53">G64-H64-I64-K64-L64-M64-N64-O64-J64</f>
        <v>0</v>
      </c>
      <c r="Q64" s="74"/>
      <c r="R64" s="69"/>
      <c r="S64" s="69"/>
      <c r="T64" s="69"/>
      <c r="U64" s="1"/>
      <c r="V64" s="1"/>
      <c r="W64" s="1"/>
      <c r="X64" s="1"/>
      <c r="Y64" s="1"/>
      <c r="Z64" s="1"/>
      <c r="AA64" s="1"/>
    </row>
    <row r="65" spans="2:27" hidden="1" x14ac:dyDescent="0.25">
      <c r="B65" s="9" t="s">
        <v>50</v>
      </c>
      <c r="C65" s="71"/>
      <c r="D65" s="9"/>
      <c r="E65" s="9"/>
      <c r="F65" s="9"/>
      <c r="G65" s="71"/>
      <c r="H65" s="9"/>
      <c r="I65" s="9"/>
      <c r="J65" s="9"/>
      <c r="K65" s="9">
        <f>K72</f>
        <v>370</v>
      </c>
      <c r="L65" s="9">
        <f t="shared" ref="L65:N65" si="54">L72</f>
        <v>400</v>
      </c>
      <c r="M65" s="9">
        <f t="shared" si="54"/>
        <v>500</v>
      </c>
      <c r="N65" s="9">
        <f t="shared" si="54"/>
        <v>500</v>
      </c>
      <c r="O65" s="9"/>
      <c r="P65" s="9"/>
      <c r="Q65" s="73"/>
      <c r="R65" s="9"/>
      <c r="S65" s="9"/>
      <c r="T65" s="9"/>
    </row>
    <row r="66" spans="2:27" hidden="1" x14ac:dyDescent="0.25">
      <c r="B66" s="9" t="s">
        <v>51</v>
      </c>
      <c r="C66" s="71"/>
      <c r="D66" s="9"/>
      <c r="E66" s="9"/>
      <c r="F66" s="9"/>
      <c r="G66" s="71"/>
      <c r="H66" s="9"/>
      <c r="I66" s="9"/>
      <c r="J66" s="9"/>
      <c r="K66" s="9">
        <f>K65</f>
        <v>370</v>
      </c>
      <c r="L66" s="9">
        <f t="shared" ref="L66:L69" si="55">L65</f>
        <v>400</v>
      </c>
      <c r="M66" s="9">
        <f t="shared" ref="M66:M69" si="56">M65</f>
        <v>500</v>
      </c>
      <c r="N66" s="9">
        <f t="shared" ref="N66:N69" si="57">N65</f>
        <v>500</v>
      </c>
      <c r="O66" s="9"/>
      <c r="P66" s="9"/>
      <c r="Q66" s="73"/>
      <c r="R66" s="9"/>
      <c r="S66" s="9"/>
      <c r="T66" s="9"/>
    </row>
    <row r="67" spans="2:27" hidden="1" x14ac:dyDescent="0.25">
      <c r="B67" s="9" t="s">
        <v>52</v>
      </c>
      <c r="C67" s="71"/>
      <c r="D67" s="9"/>
      <c r="E67" s="9"/>
      <c r="F67" s="9"/>
      <c r="G67" s="71"/>
      <c r="H67" s="9"/>
      <c r="I67" s="9"/>
      <c r="J67" s="9"/>
      <c r="K67" s="9">
        <f>K66</f>
        <v>370</v>
      </c>
      <c r="L67" s="9">
        <f t="shared" si="55"/>
        <v>400</v>
      </c>
      <c r="M67" s="9">
        <f t="shared" si="56"/>
        <v>500</v>
      </c>
      <c r="N67" s="9">
        <f t="shared" si="57"/>
        <v>500</v>
      </c>
      <c r="O67" s="9"/>
      <c r="P67" s="9"/>
      <c r="Q67" s="73"/>
      <c r="R67" s="9"/>
      <c r="S67" s="9"/>
      <c r="T67" s="9"/>
    </row>
    <row r="68" spans="2:27" hidden="1" x14ac:dyDescent="0.25">
      <c r="B68" s="9" t="s">
        <v>56</v>
      </c>
      <c r="C68" s="71"/>
      <c r="D68" s="9"/>
      <c r="E68" s="9"/>
      <c r="F68" s="9"/>
      <c r="G68" s="71"/>
      <c r="H68" s="9"/>
      <c r="I68" s="9"/>
      <c r="J68" s="9"/>
      <c r="K68" s="9">
        <f>K67</f>
        <v>370</v>
      </c>
      <c r="L68" s="9">
        <f t="shared" si="55"/>
        <v>400</v>
      </c>
      <c r="M68" s="9">
        <f t="shared" si="56"/>
        <v>500</v>
      </c>
      <c r="N68" s="9">
        <f t="shared" si="57"/>
        <v>500</v>
      </c>
      <c r="O68" s="9"/>
      <c r="P68" s="9"/>
      <c r="Q68" s="73"/>
      <c r="R68" s="9"/>
      <c r="S68" s="9"/>
      <c r="T68" s="9"/>
    </row>
    <row r="69" spans="2:27" hidden="1" x14ac:dyDescent="0.25">
      <c r="B69" s="9" t="s">
        <v>53</v>
      </c>
      <c r="C69" s="71"/>
      <c r="D69" s="9"/>
      <c r="E69" s="9"/>
      <c r="F69" s="9"/>
      <c r="G69" s="71"/>
      <c r="H69" s="9"/>
      <c r="I69" s="9"/>
      <c r="J69" s="9"/>
      <c r="K69" s="9">
        <f>K68</f>
        <v>370</v>
      </c>
      <c r="L69" s="9">
        <f t="shared" si="55"/>
        <v>400</v>
      </c>
      <c r="M69" s="9">
        <f t="shared" si="56"/>
        <v>500</v>
      </c>
      <c r="N69" s="9">
        <f t="shared" si="57"/>
        <v>500</v>
      </c>
      <c r="O69" s="9"/>
      <c r="P69" s="9"/>
      <c r="Q69" s="73"/>
      <c r="R69" s="9"/>
      <c r="S69" s="9"/>
      <c r="T69" s="9"/>
    </row>
    <row r="70" spans="2:27" hidden="1" x14ac:dyDescent="0.25">
      <c r="B70" s="9" t="s">
        <v>54</v>
      </c>
      <c r="C70" s="71"/>
      <c r="D70" s="9"/>
      <c r="E70" s="9"/>
      <c r="F70" s="9"/>
      <c r="G70" s="71"/>
      <c r="H70" s="9"/>
      <c r="I70" s="9"/>
      <c r="J70" s="9"/>
      <c r="K70" s="9">
        <f>K68</f>
        <v>370</v>
      </c>
      <c r="L70" s="9">
        <f t="shared" ref="L70:N70" si="58">L68</f>
        <v>400</v>
      </c>
      <c r="M70" s="9">
        <f t="shared" si="58"/>
        <v>500</v>
      </c>
      <c r="N70" s="9">
        <f t="shared" si="58"/>
        <v>500</v>
      </c>
      <c r="O70" s="9"/>
      <c r="P70" s="9"/>
      <c r="Q70" s="73"/>
      <c r="R70" s="9"/>
      <c r="S70" s="9"/>
      <c r="T70" s="9"/>
    </row>
    <row r="71" spans="2:27" hidden="1" x14ac:dyDescent="0.25">
      <c r="B71" s="9" t="s">
        <v>55</v>
      </c>
      <c r="C71" s="71"/>
      <c r="D71" s="9"/>
      <c r="E71" s="9"/>
      <c r="F71" s="9"/>
      <c r="G71" s="71"/>
      <c r="H71" s="9"/>
      <c r="I71" s="9"/>
      <c r="J71" s="9"/>
      <c r="K71" s="9">
        <f>K70*2</f>
        <v>740</v>
      </c>
      <c r="L71" s="9">
        <f t="shared" ref="L71" si="59">L70*2</f>
        <v>800</v>
      </c>
      <c r="M71" s="9">
        <f t="shared" ref="M71" si="60">M70*2</f>
        <v>1000</v>
      </c>
      <c r="N71" s="9">
        <f t="shared" ref="N71" si="61">N70*2</f>
        <v>1000</v>
      </c>
      <c r="O71" s="9"/>
      <c r="P71" s="9"/>
      <c r="Q71" s="73"/>
      <c r="R71" s="9"/>
      <c r="S71" s="9"/>
      <c r="T71" s="9"/>
    </row>
    <row r="72" spans="2:27" hidden="1" x14ac:dyDescent="0.25">
      <c r="B72" s="69" t="s">
        <v>10</v>
      </c>
      <c r="C72" s="72">
        <v>1770</v>
      </c>
      <c r="D72" s="69">
        <v>0</v>
      </c>
      <c r="E72" s="69">
        <v>0</v>
      </c>
      <c r="F72" s="69"/>
      <c r="G72" s="72">
        <f>C72-D72-E72</f>
        <v>1770</v>
      </c>
      <c r="H72" s="69"/>
      <c r="I72" s="69"/>
      <c r="J72" s="69"/>
      <c r="K72" s="69">
        <v>370</v>
      </c>
      <c r="L72" s="69">
        <v>400</v>
      </c>
      <c r="M72" s="69">
        <v>500</v>
      </c>
      <c r="N72" s="69">
        <v>500</v>
      </c>
      <c r="O72" s="69"/>
      <c r="P72" s="69">
        <f t="shared" ref="P72" si="62">G72-H72-I72-K72-L72-M72-N72-O72-J72</f>
        <v>0</v>
      </c>
      <c r="Q72" s="74"/>
      <c r="R72" s="69"/>
      <c r="S72" s="69"/>
      <c r="T72" s="69"/>
      <c r="U72" s="1"/>
      <c r="V72" s="1"/>
      <c r="W72" s="1"/>
      <c r="X72" s="1"/>
      <c r="Y72" s="1"/>
      <c r="Z72" s="1"/>
      <c r="AA72" s="1"/>
    </row>
    <row r="73" spans="2:27" hidden="1" x14ac:dyDescent="0.25">
      <c r="B73" s="9" t="s">
        <v>46</v>
      </c>
      <c r="C73" s="71"/>
      <c r="D73" s="9"/>
      <c r="E73" s="9"/>
      <c r="F73" s="9"/>
      <c r="G73" s="71"/>
      <c r="H73" s="9"/>
      <c r="I73" s="9">
        <f>I77</f>
        <v>157</v>
      </c>
      <c r="J73" s="9">
        <f>J77</f>
        <v>100</v>
      </c>
      <c r="K73" s="9">
        <f>K77</f>
        <v>100</v>
      </c>
      <c r="L73" s="9">
        <f>L77</f>
        <v>50</v>
      </c>
      <c r="M73" s="9"/>
      <c r="N73" s="9"/>
      <c r="O73" s="9"/>
      <c r="P73" s="9"/>
      <c r="Q73" s="73"/>
      <c r="R73" s="9">
        <f>1449-93</f>
        <v>1356</v>
      </c>
      <c r="S73" s="9"/>
      <c r="T73" s="9">
        <v>150</v>
      </c>
    </row>
    <row r="74" spans="2:27" hidden="1" x14ac:dyDescent="0.25">
      <c r="B74" s="9" t="s">
        <v>47</v>
      </c>
      <c r="C74" s="71"/>
      <c r="D74" s="9"/>
      <c r="E74" s="9"/>
      <c r="F74" s="9"/>
      <c r="G74" s="71"/>
      <c r="H74" s="9"/>
      <c r="I74" s="9">
        <f>I73</f>
        <v>157</v>
      </c>
      <c r="J74" s="9">
        <f>J73</f>
        <v>100</v>
      </c>
      <c r="K74" s="9">
        <f>K73</f>
        <v>100</v>
      </c>
      <c r="L74" s="9">
        <f>L73</f>
        <v>50</v>
      </c>
      <c r="M74" s="9"/>
      <c r="N74" s="9"/>
      <c r="O74" s="9"/>
      <c r="P74" s="9"/>
      <c r="Q74" s="73"/>
      <c r="R74" s="9">
        <f>1220-93</f>
        <v>1127</v>
      </c>
      <c r="S74" s="9"/>
      <c r="T74" s="9">
        <v>150</v>
      </c>
    </row>
    <row r="75" spans="2:27" hidden="1" x14ac:dyDescent="0.25">
      <c r="B75" s="9" t="s">
        <v>48</v>
      </c>
      <c r="C75" s="71"/>
      <c r="D75" s="9"/>
      <c r="E75" s="9"/>
      <c r="F75" s="9"/>
      <c r="G75" s="71"/>
      <c r="H75" s="9"/>
      <c r="I75" s="9">
        <f>I77</f>
        <v>157</v>
      </c>
      <c r="J75" s="9">
        <f>J77</f>
        <v>100</v>
      </c>
      <c r="K75" s="9">
        <f>K77</f>
        <v>100</v>
      </c>
      <c r="L75" s="9">
        <f>L77</f>
        <v>50</v>
      </c>
      <c r="M75" s="9"/>
      <c r="N75" s="9"/>
      <c r="O75" s="9"/>
      <c r="P75" s="9"/>
      <c r="Q75" s="73"/>
      <c r="R75" s="9">
        <f>1266-93</f>
        <v>1173</v>
      </c>
      <c r="S75" s="9"/>
      <c r="T75" s="9">
        <v>150</v>
      </c>
    </row>
    <row r="76" spans="2:27" hidden="1" x14ac:dyDescent="0.25">
      <c r="B76" s="9" t="s">
        <v>49</v>
      </c>
      <c r="C76" s="71"/>
      <c r="D76" s="9"/>
      <c r="E76" s="9"/>
      <c r="F76" s="9"/>
      <c r="G76" s="71"/>
      <c r="H76" s="9"/>
      <c r="I76" s="9">
        <f>I77</f>
        <v>157</v>
      </c>
      <c r="J76" s="9">
        <f>J77</f>
        <v>100</v>
      </c>
      <c r="K76" s="9">
        <f>K77</f>
        <v>100</v>
      </c>
      <c r="L76" s="9">
        <f>L77</f>
        <v>50</v>
      </c>
      <c r="M76" s="9"/>
      <c r="N76" s="9"/>
      <c r="O76" s="9"/>
      <c r="P76" s="9"/>
      <c r="Q76" s="73"/>
      <c r="R76" s="9">
        <f>945-93</f>
        <v>852</v>
      </c>
      <c r="S76" s="9"/>
      <c r="T76" s="9">
        <v>150</v>
      </c>
    </row>
    <row r="77" spans="2:27" hidden="1" x14ac:dyDescent="0.25">
      <c r="B77" s="69" t="s">
        <v>9</v>
      </c>
      <c r="C77" s="72">
        <v>658</v>
      </c>
      <c r="D77" s="69">
        <v>16</v>
      </c>
      <c r="E77" s="69">
        <v>0</v>
      </c>
      <c r="F77" s="69"/>
      <c r="G77" s="72">
        <f>C77-D77-E77</f>
        <v>642</v>
      </c>
      <c r="H77" s="69">
        <v>235</v>
      </c>
      <c r="I77" s="69">
        <v>157</v>
      </c>
      <c r="J77" s="69">
        <v>100</v>
      </c>
      <c r="K77" s="69">
        <v>100</v>
      </c>
      <c r="L77" s="69">
        <v>50</v>
      </c>
      <c r="M77" s="69"/>
      <c r="N77" s="69"/>
      <c r="O77" s="69"/>
      <c r="P77" s="69">
        <f t="shared" ref="P77" si="63">G77-H77-I77-K77-L77-M77-N77-O77-J77</f>
        <v>0</v>
      </c>
      <c r="Q77" s="74"/>
      <c r="R77" s="69"/>
      <c r="S77" s="69"/>
      <c r="T77" s="69"/>
      <c r="U77" s="1"/>
      <c r="V77" s="1"/>
      <c r="W77" s="1"/>
      <c r="X77" s="1"/>
      <c r="Y77" s="1"/>
      <c r="Z77" s="1"/>
      <c r="AA77" s="1"/>
    </row>
    <row r="78" spans="2:27" hidden="1" x14ac:dyDescent="0.25">
      <c r="B78" s="69" t="s">
        <v>14</v>
      </c>
      <c r="C78" s="72">
        <f>SUM(C64:C77)</f>
        <v>3588</v>
      </c>
      <c r="D78" s="69"/>
      <c r="E78" s="69"/>
      <c r="F78" s="69"/>
      <c r="G78" s="72">
        <f t="shared" ref="G78:O78" si="64">SUM(G64:G77)</f>
        <v>3572</v>
      </c>
      <c r="H78" s="69">
        <f t="shared" si="64"/>
        <v>370</v>
      </c>
      <c r="I78" s="69">
        <f t="shared" si="64"/>
        <v>1150</v>
      </c>
      <c r="J78" s="69">
        <f t="shared" si="64"/>
        <v>960</v>
      </c>
      <c r="K78" s="69">
        <f t="shared" si="64"/>
        <v>3930</v>
      </c>
      <c r="L78" s="69">
        <f t="shared" si="64"/>
        <v>3950</v>
      </c>
      <c r="M78" s="69">
        <f t="shared" si="64"/>
        <v>4500</v>
      </c>
      <c r="N78" s="69">
        <f t="shared" si="64"/>
        <v>4500</v>
      </c>
      <c r="O78" s="69">
        <f t="shared" si="64"/>
        <v>0</v>
      </c>
      <c r="P78" s="69">
        <f>SUM(P60:P77)</f>
        <v>0</v>
      </c>
      <c r="Q78" s="74"/>
      <c r="R78" s="69"/>
      <c r="S78" s="69"/>
      <c r="T78" s="69"/>
      <c r="U78" s="1"/>
      <c r="V78" s="1"/>
      <c r="W78" s="1"/>
      <c r="X78" s="1"/>
      <c r="Y78" s="1"/>
      <c r="Z78" s="1"/>
      <c r="AA78" s="1"/>
    </row>
    <row r="79" spans="2:27" hidden="1" x14ac:dyDescent="0.25">
      <c r="B79" s="9"/>
      <c r="C79" s="71"/>
      <c r="D79" s="9"/>
      <c r="E79" s="9"/>
      <c r="F79" s="9"/>
      <c r="G79" s="72"/>
      <c r="H79" s="69"/>
      <c r="I79" s="69"/>
      <c r="J79" s="69"/>
      <c r="K79" s="69"/>
      <c r="L79" s="69"/>
      <c r="M79" s="69"/>
      <c r="N79" s="69"/>
      <c r="O79" s="9"/>
      <c r="P79" s="9"/>
      <c r="Q79" s="73"/>
      <c r="R79" s="9"/>
      <c r="S79" s="9"/>
      <c r="T79" s="9"/>
    </row>
    <row r="80" spans="2:27" hidden="1" x14ac:dyDescent="0.25">
      <c r="B80" s="9"/>
      <c r="C80" s="71"/>
      <c r="D80" s="9"/>
      <c r="E80" s="9"/>
      <c r="F80" s="9"/>
      <c r="G80" s="72"/>
      <c r="H80" s="69"/>
      <c r="I80" s="69"/>
      <c r="J80" s="69"/>
      <c r="K80" s="69"/>
      <c r="L80" s="69"/>
      <c r="M80" s="69"/>
      <c r="N80" s="69"/>
      <c r="O80" s="9"/>
      <c r="P80" s="9"/>
      <c r="Q80" s="73"/>
      <c r="R80" s="9"/>
      <c r="S80" s="9"/>
      <c r="T80" s="9"/>
    </row>
    <row r="81" spans="2:27" hidden="1" x14ac:dyDescent="0.25">
      <c r="B81" s="69" t="s">
        <v>11</v>
      </c>
      <c r="C81" s="72">
        <v>3540</v>
      </c>
      <c r="D81" s="69">
        <v>0</v>
      </c>
      <c r="E81" s="69">
        <v>108</v>
      </c>
      <c r="F81" s="69"/>
      <c r="G81" s="72">
        <f>C81-D81-E81</f>
        <v>3432</v>
      </c>
      <c r="H81" s="69">
        <v>120</v>
      </c>
      <c r="I81" s="69">
        <v>300</v>
      </c>
      <c r="J81" s="69">
        <v>550</v>
      </c>
      <c r="K81" s="69">
        <v>550</v>
      </c>
      <c r="L81" s="69">
        <v>650</v>
      </c>
      <c r="M81" s="69">
        <v>650</v>
      </c>
      <c r="N81" s="69">
        <f>550+62</f>
        <v>612</v>
      </c>
      <c r="O81" s="69"/>
      <c r="P81" s="69">
        <f t="shared" ref="P81" si="65">G81-H81-I81-K81-L81-M81-N81-O81-J81</f>
        <v>0</v>
      </c>
      <c r="Q81" s="74"/>
      <c r="R81" s="69"/>
      <c r="S81" s="69"/>
      <c r="T81" s="69"/>
      <c r="U81" s="1"/>
      <c r="V81" s="1"/>
      <c r="W81" s="1"/>
      <c r="X81" s="1"/>
      <c r="Y81" s="1"/>
      <c r="Z81" s="1"/>
      <c r="AA81" s="1"/>
    </row>
    <row r="82" spans="2:27" hidden="1" x14ac:dyDescent="0.25">
      <c r="B82" s="9"/>
      <c r="C82" s="71"/>
      <c r="D82" s="9"/>
      <c r="E82" s="9"/>
      <c r="F82" s="9"/>
      <c r="G82" s="71"/>
      <c r="H82" s="9"/>
      <c r="I82" s="9"/>
      <c r="J82" s="9"/>
      <c r="K82" s="9"/>
      <c r="L82" s="9"/>
      <c r="M82" s="9"/>
      <c r="N82" s="9"/>
      <c r="O82" s="9"/>
      <c r="P82" s="9"/>
      <c r="Q82" s="73"/>
      <c r="R82" s="9"/>
      <c r="S82" s="9"/>
      <c r="T82" s="9"/>
    </row>
    <row r="83" spans="2:27" hidden="1" x14ac:dyDescent="0.25">
      <c r="B83" s="69" t="s">
        <v>14</v>
      </c>
      <c r="C83" s="72">
        <f>SUM(C81)</f>
        <v>3540</v>
      </c>
      <c r="D83" s="69"/>
      <c r="E83" s="69"/>
      <c r="F83" s="69"/>
      <c r="G83" s="72">
        <f>SUM(G81)</f>
        <v>3432</v>
      </c>
      <c r="H83" s="69">
        <f>SUM(H81)</f>
        <v>120</v>
      </c>
      <c r="I83" s="69">
        <f t="shared" ref="I83:O83" si="66">SUM(I81)</f>
        <v>300</v>
      </c>
      <c r="J83" s="69">
        <f t="shared" si="66"/>
        <v>550</v>
      </c>
      <c r="K83" s="69">
        <f t="shared" si="66"/>
        <v>550</v>
      </c>
      <c r="L83" s="69">
        <f t="shared" si="66"/>
        <v>650</v>
      </c>
      <c r="M83" s="69">
        <f t="shared" si="66"/>
        <v>650</v>
      </c>
      <c r="N83" s="69">
        <f t="shared" si="66"/>
        <v>612</v>
      </c>
      <c r="O83" s="69">
        <f t="shared" si="66"/>
        <v>0</v>
      </c>
      <c r="P83" s="69">
        <f t="shared" ref="P83" si="67">G83-H83-I83-K83-L83-M83-N83-O83-J83</f>
        <v>0</v>
      </c>
      <c r="Q83" s="74"/>
      <c r="R83" s="69"/>
      <c r="S83" s="69"/>
      <c r="T83" s="69"/>
      <c r="U83" s="1"/>
      <c r="V83" s="1"/>
      <c r="W83" s="1"/>
      <c r="X83" s="1"/>
      <c r="Y83" s="1"/>
      <c r="Z83" s="1"/>
      <c r="AA83" s="1"/>
    </row>
    <row r="85" spans="2:27" x14ac:dyDescent="0.25">
      <c r="B85" t="s">
        <v>40</v>
      </c>
      <c r="R85" t="s">
        <v>39</v>
      </c>
    </row>
    <row r="87" spans="2:27" x14ac:dyDescent="0.25">
      <c r="B87" t="s">
        <v>41</v>
      </c>
      <c r="R87" t="s">
        <v>42</v>
      </c>
    </row>
    <row r="89" spans="2:27" x14ac:dyDescent="0.25">
      <c r="B89" t="s">
        <v>35</v>
      </c>
      <c r="R89" t="s">
        <v>36</v>
      </c>
    </row>
    <row r="91" spans="2:27" x14ac:dyDescent="0.25">
      <c r="B91" t="s">
        <v>37</v>
      </c>
      <c r="R91" t="s">
        <v>38</v>
      </c>
    </row>
  </sheetData>
  <pageMargins left="0.7" right="0.7" top="0.75" bottom="0.75" header="0.3" footer="0.3"/>
  <pageSetup paperSize="9" scale="76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Июнь выпуск Доп</vt:lpstr>
      <vt:lpstr>Лист2</vt:lpstr>
      <vt:lpstr>График до 20_12</vt:lpstr>
      <vt:lpstr>Лист1</vt:lpstr>
      <vt:lpstr>Лист3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2026-08-04T10:56:20Z</dcterms:modified>
</cp:coreProperties>
</file>