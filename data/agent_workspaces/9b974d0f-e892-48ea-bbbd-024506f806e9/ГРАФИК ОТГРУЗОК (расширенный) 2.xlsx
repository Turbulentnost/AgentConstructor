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8400" windowHeight="17415"/>
  </bookViews>
  <sheets>
    <sheet name="СС" sheetId="1" r:id="rId1"/>
    <sheet name=" СИ, СТ" sheetId="2" r:id="rId2"/>
    <sheet name="СР, СРМ" sheetId="4" r:id="rId3"/>
    <sheet name="НСУ2.1" sheetId="6" r:id="rId4"/>
    <sheet name="Доп заказ на СС (80 000)" sheetId="7" r:id="rId5"/>
  </sheets>
  <definedNames>
    <definedName name="_xlnm._FilterDatabase" localSheetId="3" hidden="1">'НСУ2.1'!$A$2:$S$86</definedName>
  </definedNames>
  <calcPr calcId="152511"/>
</workbook>
</file>

<file path=xl/calcChain.xml><?xml version="1.0" encoding="utf-8"?>
<calcChain xmlns="http://schemas.openxmlformats.org/spreadsheetml/2006/main">
  <c r="B45" i="6" l="1"/>
  <c r="B46" i="6"/>
  <c r="B82" i="6"/>
  <c r="B69" i="6"/>
  <c r="B64" i="6"/>
  <c r="B63" i="6"/>
  <c r="B62" i="6"/>
  <c r="B56" i="6"/>
  <c r="B55" i="6"/>
  <c r="B53" i="6"/>
  <c r="B52" i="6"/>
  <c r="B51" i="6"/>
  <c r="B50" i="6"/>
  <c r="B48" i="6"/>
  <c r="B47" i="6"/>
  <c r="B41" i="6"/>
  <c r="B40" i="6"/>
  <c r="B39" i="6"/>
  <c r="B33" i="6"/>
  <c r="B32" i="6"/>
  <c r="B31" i="6"/>
  <c r="B5" i="6"/>
  <c r="B4" i="6"/>
  <c r="B3" i="6"/>
  <c r="B4" i="4" l="1"/>
  <c r="J50" i="6" l="1"/>
  <c r="N20" i="2"/>
  <c r="N19" i="2"/>
  <c r="N18" i="2"/>
  <c r="B20" i="2"/>
  <c r="B19" i="2"/>
  <c r="B18" i="2"/>
  <c r="AV3" i="2" l="1"/>
  <c r="B12" i="2" l="1"/>
  <c r="J23" i="2"/>
  <c r="B23" i="2"/>
  <c r="B24" i="2"/>
  <c r="B22" i="2" l="1"/>
  <c r="B21" i="2"/>
  <c r="B17" i="2" l="1"/>
  <c r="B15" i="2"/>
  <c r="B16" i="2"/>
  <c r="B14" i="2" l="1"/>
  <c r="B13" i="2"/>
  <c r="M12" i="1" l="1"/>
  <c r="N4" i="1"/>
  <c r="J9" i="4"/>
  <c r="B8" i="2" l="1"/>
  <c r="B7" i="1"/>
  <c r="B6" i="2" l="1"/>
  <c r="B5" i="2" l="1"/>
  <c r="B4" i="2"/>
  <c r="B3" i="2"/>
  <c r="P17" i="1" l="1"/>
  <c r="B18" i="1"/>
</calcChain>
</file>

<file path=xl/sharedStrings.xml><?xml version="1.0" encoding="utf-8"?>
<sst xmlns="http://schemas.openxmlformats.org/spreadsheetml/2006/main" count="1062" uniqueCount="222">
  <si>
    <t>Номенклатура</t>
  </si>
  <si>
    <t>Заказано кол-во, шт</t>
  </si>
  <si>
    <t>Комплект для самолета STRIX Goblin KIT (2026)</t>
  </si>
  <si>
    <t>Двигатель BrotherHobby Tornado T5 3115 Pro Motor 1050KV (2026)</t>
  </si>
  <si>
    <t>Плата Драйвера Sunnysky X125A PRO 3-8S ESC</t>
  </si>
  <si>
    <t>Полетный контроллер SpeedyBee F405 Wing mini (2026)</t>
  </si>
  <si>
    <t>Цифровая видеокамера с передатчиком Walksnail Ascent GT PRO 4W Z8 (2026)</t>
  </si>
  <si>
    <t>Тепловизионная камера CADDXFPV 009HD Camera Eclipse Thermal Ascent GT PRO 4W VTX (2026)</t>
  </si>
  <si>
    <t>Винт воздушный 7012-2 для квадрокоптера(FPV) 7", двухлопастной 2 штуки</t>
  </si>
  <si>
    <t>Пропеллер 8X8E</t>
  </si>
  <si>
    <t>Аккумулятор LiPo GAONENG GNB HV 8S 30,4 В 7500 мАч 65C XT90 (2026)</t>
  </si>
  <si>
    <t>Сервопривод цифровой EMAX ES3054 (2026)</t>
  </si>
  <si>
    <t>Разъем XT90-M (2026)</t>
  </si>
  <si>
    <t>Разъем MR60-F (2026)</t>
  </si>
  <si>
    <t>Разъем MR60-M (2026)</t>
  </si>
  <si>
    <t>Корпус разъема Dupont 4pin (2026)</t>
  </si>
  <si>
    <t>L-KLS15--RCS01-PC7T , Розетка PC7TB с кожухом на кабель</t>
  </si>
  <si>
    <t>DC-DC преобразователь постоянного тока LM317 с регулируемым линейным регулятором</t>
  </si>
  <si>
    <t>Коннектор под 1 pin female BLS 2.54мм (2026)</t>
  </si>
  <si>
    <t>Корпус разъема Dupont 3pin (2026)</t>
  </si>
  <si>
    <t>Сокол-С</t>
  </si>
  <si>
    <t>Примерная дата поставки в Москву</t>
  </si>
  <si>
    <t>Сокол-Р</t>
  </si>
  <si>
    <t>Комплект для самолета X-UAV Talon Pro 1350мм (2026)</t>
  </si>
  <si>
    <t>Бесколлекторный мотор FLASHHOBBY D4260EVO 800KV</t>
  </si>
  <si>
    <t>Сервопривод цифровой EMAX ES08MDII (2026)</t>
  </si>
  <si>
    <t>Полетный контроллер SpeedyBee F405 Wing (2026)</t>
  </si>
  <si>
    <t>Винт нейлоновый 12х8Е GemFan</t>
  </si>
  <si>
    <t>Джампер 2.54х13.7мм 2-контактный закрытый (2026)</t>
  </si>
  <si>
    <t>Разъем XT90Н-M</t>
  </si>
  <si>
    <t>Разъем XT90H-F</t>
  </si>
  <si>
    <t>Коннектор выводной SM-2pin-L150мм-X1M (папа/мама) JST (2026)</t>
  </si>
  <si>
    <t>Удлинительный провод для сервопривода 30 см 2.54mm (2026)</t>
  </si>
  <si>
    <t>Удлинительный провод для сервопривода 20 см 2.54mm (2026)</t>
  </si>
  <si>
    <t>Кабель сервопривода Y-образный 10см 2.54mm (2026)</t>
  </si>
  <si>
    <t>Кабель Dupont 2 pin Female 2.54mm 40 см (2026)</t>
  </si>
  <si>
    <t>Кабель Dupont 2 pin Male to Female 40см 2.54mm (2026)</t>
  </si>
  <si>
    <t>Разъем GC4011-F.G, гнездо "Банан" (2026)</t>
  </si>
  <si>
    <t>Аккумулятор GAONENG GNB 6S 22.8V HV 13000mAh 80C RC LiPo XT90S</t>
  </si>
  <si>
    <t>Конденсатор алюминиевый электролитический 820мкФ 35В 20% , lowESR±20%</t>
  </si>
  <si>
    <t>Сокол-И, Т</t>
  </si>
  <si>
    <t>Разъем XT60-M (2026)</t>
  </si>
  <si>
    <t>Комплект для самолета ZOHD Nano Talon EVO KIT (2026)</t>
  </si>
  <si>
    <t>Трехосевой подвес стабилизации для камеры CADDX GM3 V2-20-HD (2026)</t>
  </si>
  <si>
    <t>Пропеллер 12x8E GemFan</t>
  </si>
  <si>
    <t>Цифровая видеокамера с передатчиком Walksnail Ascent GT PRO 4W Z40 (2026)</t>
  </si>
  <si>
    <t>Разъем XT60-F (2026)</t>
  </si>
  <si>
    <t>Остаток недополученной продукции</t>
  </si>
  <si>
    <t>Цифровой FPV видеоприемник Walksnail Avatar FPV VRX</t>
  </si>
  <si>
    <t>Пропеллер Sunnysky fixed wing propeller EOLO 6x4 propeller</t>
  </si>
  <si>
    <t>Розетка LP-20-J03SX-03-401 (на корпус, фланец под 4 винта, 3 контакта)</t>
  </si>
  <si>
    <t>Розетка LP-20-J09SX-03-401 (на корпус, фланец под 4 винта, 9 контактов)</t>
  </si>
  <si>
    <t>Вилка LP-20-C09PE-01-022 (на кабель, 9 контактов)</t>
  </si>
  <si>
    <t>Вилка LP-16-C03SX-02-401 (на корпус, фланец под 4 винта, 3 контакта, корпус пластик)</t>
  </si>
  <si>
    <t>Розетка LP-16-J03PE-02-001 (на кабель, 3 контакта)</t>
  </si>
  <si>
    <t>Розетка LP-16-J04SX-02-401 (на корпус, фланец под 4 винта, 4 контакта)</t>
  </si>
  <si>
    <t>Вилка LP-16-C04PE-02-001 (на кабель, 4 контакта)</t>
  </si>
  <si>
    <t>Розетка M25HDMIZ0-2.0 G (на корпус, под гайку, HDMI-HDMI)</t>
  </si>
  <si>
    <t xml:space="preserve">Вилка на кабель XT60-M </t>
  </si>
  <si>
    <t>Розетка на кабель XT60-F</t>
  </si>
  <si>
    <t>Блок питания импульсный LRS-150-24 MEAN WELL  150Вт 24В 6.5А</t>
  </si>
  <si>
    <t>22 мм Антивандальная металлическая кнопка с подсветкой, 4 контакт, фиксация, 24B Красная подстветка.</t>
  </si>
  <si>
    <t>Автомобильная быстрая врезная зарядка для телефона. 2 USB + Вольтметр. (ChargeJet CJxQC3.0)</t>
  </si>
  <si>
    <t>Светодиод в корпусе L-9-IL-M8-02A-5MM-G (Зеленый)</t>
  </si>
  <si>
    <t>Светодиод в корпусе L-9-IL-M8-02A-5MM-R (Красный)</t>
  </si>
  <si>
    <t>Стик для джойстика (грибок), для Модуля джойстика GINFULL TMR</t>
  </si>
  <si>
    <t>Колпачок круглый для тактовой кнопки 12мм (серый) KLS7-TSC12-RG</t>
  </si>
  <si>
    <t>Удлинитель HDMI 2.0 (M/F), 30см, (одна сторона крепится на корпус)</t>
  </si>
  <si>
    <t>HDMI сплиттер OT-AVW50 (USB кабель питания в комплекте)</t>
  </si>
  <si>
    <t>Контакт гнездовой серии 2.8 под сечение 0.5-1 мм²</t>
  </si>
  <si>
    <t>Контакт гнездовой серии 6.3 под сечение 0.5-1 мм²</t>
  </si>
  <si>
    <t>Мотор редуктор JGY370 55 об/мин 12В вал 6мм (вал 6мм, без отверстия, в одну сторону)</t>
  </si>
  <si>
    <t>Кабельная сборка SMA male - SMA male, 0.3 м,(не менее чем на 6ГГц)</t>
  </si>
  <si>
    <t>Пульт RadioMaster TX12 MKII (без АКБ)</t>
  </si>
  <si>
    <t>Короткий патч-корд плоский 15см GCR PROF кабель для интернета КАТ.6</t>
  </si>
  <si>
    <t>Короткий патч-корд плоский 30см GCR PROF кабель для интернета КАТ.6</t>
  </si>
  <si>
    <t>Короткий патч-корд плоский 50 см GCR PROF кабель для интернета КАТ.6</t>
  </si>
  <si>
    <t>Цифровой видеоприемник Walksnail Ascent VRX</t>
  </si>
  <si>
    <t>Видео конвертер AV2HDMI</t>
  </si>
  <si>
    <t>Ультратонкий короткий кабель HDMI -  HDMI 2.0 GCR 50см, черный</t>
  </si>
  <si>
    <t>Ультратонкий короткий кабель HDMI -  Mini HDMI SmallRig 55см, черный</t>
  </si>
  <si>
    <t>Переходник SMA-female - MMCX угловой пигтейл</t>
  </si>
  <si>
    <t>Пигтейл SMA-female - U.FL (IPX), 7 см</t>
  </si>
  <si>
    <t>Кабель с разъемом UFL, 7 см, 6 ГГц</t>
  </si>
  <si>
    <t>Пистон монтажный 3075, диаметр 3 мм, глубина гильзы 7.5 мм, черный</t>
  </si>
  <si>
    <t>KLS1-SMA001 разъем SMA</t>
  </si>
  <si>
    <t>Заклёпки нейлоновые PR-3045-K</t>
  </si>
  <si>
    <t>Согласованная нагрузка 50 Ом, 2 Вт SMA-male, 6 ГГц</t>
  </si>
  <si>
    <t>Стойка PCHSN2-3 М2, латунь, высота 3+4 мм</t>
  </si>
  <si>
    <t>Стойка PCHNN-6 М3, латунь, высота стойки 6 мм</t>
  </si>
  <si>
    <t>Стойка PCHSN 11-M2, латунь, высота стойки 11 мм</t>
  </si>
  <si>
    <t>Стойка PCHSN 9-M2, латунь, высота стойки 9 мм</t>
  </si>
  <si>
    <t>Стойка PCHSS-11 М3, латунь, высота стойки 11 мм</t>
  </si>
  <si>
    <t>Стойка PCHSS-15 М3, латунь, высота стойки 15 мм</t>
  </si>
  <si>
    <t>Стойка PCHSS-18 М3, латунь, высота стойки 18 мм</t>
  </si>
  <si>
    <t>Стойка PCHSS-27 М3, латунь, высота стойки 27 мм</t>
  </si>
  <si>
    <t>Кабельная сборка SMA male - SMA male, 0.1 м, синий (не менее чем на 6ГГц)</t>
  </si>
  <si>
    <t>НСУ 2.1</t>
  </si>
  <si>
    <t>Laptomo 18.5" Монитор Ассорт X LF185</t>
  </si>
  <si>
    <t xml:space="preserve">300М HDMI IP Extender - удлинитель приемник и передатчик HDMI </t>
  </si>
  <si>
    <t>Короткий HDMI-HDMI видео кабель 20см GCR-HM761  (кабель ~4мм)</t>
  </si>
  <si>
    <t xml:space="preserve">Выключатель на кабель герметичный JB911-2 </t>
  </si>
  <si>
    <t xml:space="preserve">Модуль AS5600, магнитный энкодер </t>
  </si>
  <si>
    <t>FPV-рекордер для радиоуправляемых моделей MINI FPV DVR (2026)</t>
  </si>
  <si>
    <t>SKYZONE SteadyView X 5.8Ghz IPS видеоприемник 5.8ГГц (2026)</t>
  </si>
  <si>
    <t xml:space="preserve">2,8-дюймовый ILI9341 SPI TFT ЖК-дисплей 320X240, без сенсора </t>
  </si>
  <si>
    <t xml:space="preserve">Вилка LP-20-C02PE-01-022
 2 pin штекер </t>
  </si>
  <si>
    <t xml:space="preserve">Розетка LP-20-J02SX-03-401 
2 pin розетка </t>
  </si>
  <si>
    <t>Розетка LP-20-J04SX-03-401 
4 pin</t>
  </si>
  <si>
    <t>Вилка LP-20-C04PE-01-022 
4 pin</t>
  </si>
  <si>
    <t>Модуль быстрой зарядки PD65W PD3.1 QC3.0 (USB C)</t>
  </si>
  <si>
    <t>Модуль быстрой зарядки QC3.0 DC 5-32в 18Вт USB</t>
  </si>
  <si>
    <t>Модуль джойстика GINFULL TMR - Xbox Wireless Controller (Series S/X, ONE)</t>
  </si>
  <si>
    <t xml:space="preserve">Кнопочный переключатель  D22 мм красная 250V </t>
  </si>
  <si>
    <t>Стойка латунная шестигранная для печатных плат   М3 8мм PCHSS-8</t>
  </si>
  <si>
    <t>Разъем DS1073-02-2*4-FCT6
вилка на плату прямая</t>
  </si>
  <si>
    <t>Разъем DS1073-02-2*2-FCT6
вилка на плату прямая</t>
  </si>
  <si>
    <t>Разъем DS1073-02-2*3-FCT6
вилка на плату прямая</t>
  </si>
  <si>
    <t>Контакт DS1073-02-FT</t>
  </si>
  <si>
    <t>Контакт гнездовой DJ622-D2.8 мама</t>
  </si>
  <si>
    <t>Понижающий регулятор напряжения и тока DC-DC 20А SZBK07</t>
  </si>
  <si>
    <t xml:space="preserve">Силовой разъем-розетка  "мама" с крышкой XT60E-F </t>
  </si>
  <si>
    <t>Корпус разъёма CHU-3</t>
  </si>
  <si>
    <t>Корпус разъёма  CHU-5</t>
  </si>
  <si>
    <t>Корпус разъёма CHU-6</t>
  </si>
  <si>
    <t>Контакт CHU-T (DS-1069)</t>
  </si>
  <si>
    <t>Контакт гнездовой DJ622-D6.3A</t>
  </si>
  <si>
    <t xml:space="preserve">Кабель HDMI  HDMI 2.0 Mini HDMI кабель 1м  </t>
  </si>
  <si>
    <t>Переходник-адаптер c разъемами RP-SMA-female и SMA-female</t>
  </si>
  <si>
    <t>Разъем AC-01A 230В, с переключателем KCD5</t>
  </si>
  <si>
    <t>Корпус разъёма  CHU-2</t>
  </si>
  <si>
    <t>Корпус разъёма CHU-4</t>
  </si>
  <si>
    <t>Переходник-конвертер из AV в HDMI, AV2HDM</t>
  </si>
  <si>
    <t>Сроки производства</t>
  </si>
  <si>
    <t>Сроки  поставки в МСК</t>
  </si>
  <si>
    <t>120 к.д. после предоплаты</t>
  </si>
  <si>
    <t>каждую неделю 4000шт/ 23 к.д. до Ростова</t>
  </si>
  <si>
    <t>50 к.д. после предоплаты</t>
  </si>
  <si>
    <t>14 к.д.</t>
  </si>
  <si>
    <t>45 к.д. -20 000
65 к.д. - 30 000
95 к.д. - 30 000
после предоплаты</t>
  </si>
  <si>
    <t>70 к.д. -20 000
95 к.д. - 40 000
105 к.д. - 20 000
после предоплаты</t>
  </si>
  <si>
    <t>43 к.д. - 10 000
53 к.д. - 10 000
63 к.д. - 30 000
73 к.д. - 10 000
после предоплаты</t>
  </si>
  <si>
    <t>85 к.д. - 5 000
95 к.д. - 10 000
105 к.д. - 10 000
115 к.д. - 15 000
после предоплаты</t>
  </si>
  <si>
    <t>50 к.д.
после предоплаты</t>
  </si>
  <si>
    <t>70 к.д.
после предоплаты</t>
  </si>
  <si>
    <t>23 к.д.</t>
  </si>
  <si>
    <t>35 к.д. - 40 000
65 к.д. - 60 000
95 к.д. - 60 000
после предоплаты</t>
  </si>
  <si>
    <t>35 к.д.
после предоплаты</t>
  </si>
  <si>
    <t>Дата платежа</t>
  </si>
  <si>
    <t>09.06.2026 - спец 12
15.06.2026 - спец 15</t>
  </si>
  <si>
    <t>10.06.2026; 09.07.2026
15.06.2026; 09.07.2026</t>
  </si>
  <si>
    <t xml:space="preserve">30.05.2026 - спец 11
</t>
  </si>
  <si>
    <t>30.05.2026 - спец 11
15.06.2026 - спец 15</t>
  </si>
  <si>
    <t>03.06.2026; 09.07.2026
15.06.2026; 09.07.2026</t>
  </si>
  <si>
    <t>27.05.2026 - спец 11
15.06.2026 - спец 15</t>
  </si>
  <si>
    <t>28.05.2026;08.07.2026; 09.07.2026
15.06.2026; 09.07.2026</t>
  </si>
  <si>
    <t>27.05.2026 - спец 10
15.06.2026 - спец 15</t>
  </si>
  <si>
    <t xml:space="preserve">03.06.2026; 09.07.2026
</t>
  </si>
  <si>
    <t>15.06.2026 - спец 15</t>
  </si>
  <si>
    <t>15.06.2026; 09.07.2026</t>
  </si>
  <si>
    <t>16.06.2026 - спец 16
03.07.2026 - спец 17</t>
  </si>
  <si>
    <t>15.06.2026 - спец 11</t>
  </si>
  <si>
    <t>05.06.2026 - спец 8
15.06.2026 - спец 11</t>
  </si>
  <si>
    <t>27.05.2026 - спец 6
15.06.2026 - спец 11</t>
  </si>
  <si>
    <t>17.06.2026, 02.07.2026, 08.07.2026,13.07.2026</t>
  </si>
  <si>
    <t>27.05.2026 - спец 6
15.06.2026 - спец 11</t>
  </si>
  <si>
    <t>02.06.2026, 09.06.2026
17.06.2026, 02.07.2026, 08.07.2026,13.07.2026</t>
  </si>
  <si>
    <t>27.05.2026 - спец 6
14.06.2026 - спец 10</t>
  </si>
  <si>
    <t>Дата спецификации</t>
  </si>
  <si>
    <t>Дата заказа</t>
  </si>
  <si>
    <t>Срок обработки</t>
  </si>
  <si>
    <t>Логистика до МСК</t>
  </si>
  <si>
    <t>Логистика МСК-Ростов</t>
  </si>
  <si>
    <t>7-14 к.д.</t>
  </si>
  <si>
    <t>5-10 к.д.</t>
  </si>
  <si>
    <t>10.06.2026 (спец 15)</t>
  </si>
  <si>
    <t>10.06.2026 (спец 13)</t>
  </si>
  <si>
    <t>07.05.2026 (спец 11)</t>
  </si>
  <si>
    <t>07.05.2026 (спец 10)</t>
  </si>
  <si>
    <t>03.06.2026 (спец 12)
10.06.2026 (спец 15)</t>
  </si>
  <si>
    <t>07.05.2026 (спец 11)
10.06.2026 (спец 15)</t>
  </si>
  <si>
    <t>07.05.2026 (спец 10)
10.06.2026 (спец 15)</t>
  </si>
  <si>
    <t>07.05.2026 (спец 6)
10.06.2026 (спец 11)</t>
  </si>
  <si>
    <t>10.06.2026 (спец 11)</t>
  </si>
  <si>
    <t>28.05.2026; 08.07.2026; 09.07.2026
15.06.2026; 09.07.2026</t>
  </si>
  <si>
    <t>07.05.2026 (спец 6)</t>
  </si>
  <si>
    <t>03.06.2026 (спец 8)
10.06.2026 (спец 11)</t>
  </si>
  <si>
    <t>2-5к.д.</t>
  </si>
  <si>
    <t>09.06.2026 - спец 13
15.06.2026 - спец 15</t>
  </si>
  <si>
    <t>10.06.2026 (спец 13)
10.06.2026 (спец 15)</t>
  </si>
  <si>
    <t>09.06.2026 - спец 13</t>
  </si>
  <si>
    <t>15.06.2026; 09.07.2026
15.06.2026; 09.07.2026</t>
  </si>
  <si>
    <t>27.05.2026 - спец 10</t>
  </si>
  <si>
    <t xml:space="preserve">28.05.2026; 08.07.2026; 09.07.2026
</t>
  </si>
  <si>
    <t>10.06.2026 (спец 16)
02.07.2026 (спец 17)</t>
  </si>
  <si>
    <t>16.06.2026, 09.07.2026
08.07.2026; 09.07.2026</t>
  </si>
  <si>
    <t>10.06.2026 (спец 16)</t>
  </si>
  <si>
    <t>16.06.2026 - спец 16</t>
  </si>
  <si>
    <t>16.06.2026, 09.07.2026</t>
  </si>
  <si>
    <t>27.05.2026 - спец 6</t>
  </si>
  <si>
    <t xml:space="preserve">07.05.2026 (спец 6)
10.06.2026 (спец 10)
</t>
  </si>
  <si>
    <t>27.05.2026 - спец 6
14.06.2026 - спец 10</t>
  </si>
  <si>
    <t>10.06.2026 (спец 10)
10.06.2026 (спец 11)</t>
  </si>
  <si>
    <t>14.06.2026 - спец 10
15.06.2026 - спец 11</t>
  </si>
  <si>
    <t>02.06; 09.06; 17.06; 30.06
17.06.2026, 02.07.2026, 08.07.2026,13.07.2026</t>
  </si>
  <si>
    <t>02.06; 09.06; 17.06; 30.06
17.06.2026, 30.06, 01.07, 08.07.2026</t>
  </si>
  <si>
    <t>17.06.2026, 30.06, 01.07, 08.07.2026</t>
  </si>
  <si>
    <t>09.06.2026
17.06.2026, 30.06, 01.07, 08.07.2026</t>
  </si>
  <si>
    <t>17.06.2026
17.06.2026, 30.06.2026, 01.07.2026. 08.07.2026</t>
  </si>
  <si>
    <t xml:space="preserve">03.06.2026 (спец 12)
</t>
  </si>
  <si>
    <t xml:space="preserve">09.06.2026 - спец 12
</t>
  </si>
  <si>
    <t>27.05.2026 - спец 11</t>
  </si>
  <si>
    <t>03.06.2026; 09.07.2026</t>
  </si>
  <si>
    <t xml:space="preserve">27.05.2026 - спец 6
</t>
  </si>
  <si>
    <t>02.06; 09.06; 17.06; 30.06</t>
  </si>
  <si>
    <t>27.05.2026 - спец 10
09.06.2026 - спец 14</t>
  </si>
  <si>
    <t>07.05.2026 (спец 10)
10.06.2026  (спец 14)</t>
  </si>
  <si>
    <t>28.05.2026; 08.07.2026; 09.07.2026
15.06.2026, 09.07.2026</t>
  </si>
  <si>
    <t>2.06; 09.06; 17.06; 30.06
17.06.2026</t>
  </si>
  <si>
    <t>07.05.2026 (спец 7)
10.06.2026 (спец 11)</t>
  </si>
  <si>
    <t xml:space="preserve">30.05.2026 - спец 7
15.06.2026 - спец 11
</t>
  </si>
  <si>
    <t>02.06.202, 01.07.2026
17.06.2026, 02.07.2026, 08.07.2026,13.07.2026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</si>
</sst>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  <charset val="204"/>
      <scheme val="major"/>
    </font>
    <font>
      <b/>
      <sz val="16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b/>
      <sz val="14"/>
      <color theme="1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  <font>
      <b/>
      <sz val="14"/>
      <color rgb="FF333333"/>
      <name val="Cambria"/>
      <family val="1"/>
      <charset val="204"/>
      <scheme val="major"/>
    </font>
    <font>
      <b/>
      <sz val="14"/>
      <name val="Cambria"/>
      <family val="1"/>
      <charset val="204"/>
      <scheme val="maj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mbria"/>
      <family val="1"/>
      <charset val="204"/>
      <scheme val="major"/>
    </font>
    <font>
      <b/>
      <sz val="20"/>
      <name val="Cambria"/>
      <family val="1"/>
      <charset val="204"/>
      <scheme val="major"/>
    </font>
    <font>
      <sz val="20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4" fillId="0" borderId="2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3" fontId="4" fillId="0" borderId="4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1" xfId="0" applyNumberFormat="1" applyFont="1" applyFill="1" applyBorder="1" applyAlignment="1">
      <alignment horizontal="center" vertical="center"/>
    </xf>
    <xf numFmtId="3" fontId="4" fillId="0" borderId="12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12" xfId="0" applyBorder="1"/>
    <xf numFmtId="0" fontId="6" fillId="0" borderId="16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3" fontId="4" fillId="3" borderId="18" xfId="0" applyNumberFormat="1" applyFont="1" applyFill="1" applyBorder="1" applyAlignment="1">
      <alignment horizontal="center" vertical="center"/>
    </xf>
    <xf numFmtId="3" fontId="4" fillId="3" borderId="19" xfId="0" applyNumberFormat="1" applyFont="1" applyFill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3" xfId="0" applyNumberFormat="1" applyFont="1" applyFill="1" applyBorder="1" applyAlignment="1">
      <alignment horizontal="center" vertical="center"/>
    </xf>
    <xf numFmtId="3" fontId="4" fillId="0" borderId="24" xfId="0" applyNumberFormat="1" applyFont="1" applyFill="1" applyBorder="1" applyAlignment="1">
      <alignment horizontal="center" vertical="center"/>
    </xf>
    <xf numFmtId="3" fontId="4" fillId="0" borderId="20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Fill="1"/>
    <xf numFmtId="0" fontId="3" fillId="0" borderId="0" xfId="0" applyFont="1" applyFill="1"/>
    <xf numFmtId="0" fontId="4" fillId="0" borderId="3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/>
    </xf>
    <xf numFmtId="0" fontId="6" fillId="0" borderId="26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3" fontId="7" fillId="3" borderId="18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left" vertical="center" wrapText="1"/>
    </xf>
    <xf numFmtId="3" fontId="7" fillId="0" borderId="1" xfId="0" applyNumberFormat="1" applyFont="1" applyFill="1" applyBorder="1" applyAlignment="1">
      <alignment horizontal="center" vertical="center"/>
    </xf>
    <xf numFmtId="3" fontId="4" fillId="3" borderId="18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left" vertical="center" wrapText="1"/>
    </xf>
    <xf numFmtId="3" fontId="4" fillId="3" borderId="27" xfId="0" applyNumberFormat="1" applyFont="1" applyFill="1" applyBorder="1" applyAlignment="1">
      <alignment horizontal="center" vertical="center"/>
    </xf>
    <xf numFmtId="3" fontId="4" fillId="0" borderId="30" xfId="0" applyNumberFormat="1" applyFont="1" applyFill="1" applyBorder="1" applyAlignment="1">
      <alignment horizontal="center" vertical="center"/>
    </xf>
    <xf numFmtId="3" fontId="4" fillId="0" borderId="31" xfId="0" applyNumberFormat="1" applyFont="1" applyFill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4" fontId="2" fillId="3" borderId="32" xfId="0" applyNumberFormat="1" applyFont="1" applyFill="1" applyBorder="1" applyAlignment="1">
      <alignment horizontal="center" vertical="center"/>
    </xf>
    <xf numFmtId="14" fontId="2" fillId="3" borderId="34" xfId="0" applyNumberFormat="1" applyFont="1" applyFill="1" applyBorder="1" applyAlignment="1">
      <alignment horizontal="center" vertical="center"/>
    </xf>
    <xf numFmtId="14" fontId="2" fillId="3" borderId="35" xfId="0" applyNumberFormat="1" applyFont="1" applyFill="1" applyBorder="1" applyAlignment="1">
      <alignment horizontal="center" vertical="center"/>
    </xf>
    <xf numFmtId="14" fontId="2" fillId="3" borderId="36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6" fillId="0" borderId="41" xfId="0" applyFont="1" applyFill="1" applyBorder="1" applyAlignment="1">
      <alignment horizontal="left" vertical="center" wrapText="1"/>
    </xf>
    <xf numFmtId="3" fontId="4" fillId="3" borderId="42" xfId="0" applyNumberFormat="1" applyFont="1" applyFill="1" applyBorder="1" applyAlignment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/>
    </xf>
    <xf numFmtId="14" fontId="2" fillId="2" borderId="38" xfId="0" applyNumberFormat="1" applyFont="1" applyFill="1" applyBorder="1" applyAlignment="1">
      <alignment horizontal="center" vertical="center" wrapText="1"/>
    </xf>
    <xf numFmtId="14" fontId="2" fillId="2" borderId="39" xfId="0" applyNumberFormat="1" applyFont="1" applyFill="1" applyBorder="1" applyAlignment="1">
      <alignment horizontal="center" vertical="center" wrapText="1"/>
    </xf>
    <xf numFmtId="14" fontId="2" fillId="2" borderId="39" xfId="0" applyNumberFormat="1" applyFont="1" applyFill="1" applyBorder="1" applyAlignment="1">
      <alignment horizontal="center" vertical="center"/>
    </xf>
    <xf numFmtId="14" fontId="2" fillId="2" borderId="40" xfId="0" applyNumberFormat="1" applyFont="1" applyFill="1" applyBorder="1" applyAlignment="1">
      <alignment horizontal="center" vertical="center"/>
    </xf>
    <xf numFmtId="14" fontId="2" fillId="2" borderId="38" xfId="0" applyNumberFormat="1" applyFont="1" applyFill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8" fillId="0" borderId="0" xfId="0" applyFont="1" applyFill="1"/>
    <xf numFmtId="0" fontId="11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0" xfId="0" applyFont="1" applyBorder="1"/>
    <xf numFmtId="0" fontId="8" fillId="0" borderId="4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22" xfId="0" applyFont="1" applyBorder="1"/>
    <xf numFmtId="0" fontId="8" fillId="0" borderId="6" xfId="0" applyFont="1" applyBorder="1"/>
    <xf numFmtId="0" fontId="12" fillId="0" borderId="16" xfId="0" applyFont="1" applyFill="1" applyBorder="1" applyAlignment="1">
      <alignment horizontal="center" vertical="center" wrapText="1"/>
    </xf>
    <xf numFmtId="0" fontId="13" fillId="0" borderId="0" xfId="0" applyFont="1"/>
    <xf numFmtId="14" fontId="14" fillId="0" borderId="0" xfId="0" applyNumberFormat="1" applyFont="1" applyAlignment="1">
      <alignment horizontal="center"/>
    </xf>
    <xf numFmtId="3" fontId="4" fillId="0" borderId="30" xfId="0" applyNumberFormat="1" applyFont="1" applyBorder="1" applyAlignment="1">
      <alignment horizontal="center" vertical="center"/>
    </xf>
    <xf numFmtId="14" fontId="2" fillId="2" borderId="45" xfId="0" applyNumberFormat="1" applyFont="1" applyFill="1" applyBorder="1" applyAlignment="1">
      <alignment horizontal="center" vertical="center" wrapText="1"/>
    </xf>
    <xf numFmtId="14" fontId="2" fillId="2" borderId="28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left" vertical="center" wrapText="1"/>
    </xf>
    <xf numFmtId="0" fontId="6" fillId="0" borderId="47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14" fontId="2" fillId="2" borderId="46" xfId="0" applyNumberFormat="1" applyFont="1" applyFill="1" applyBorder="1" applyAlignment="1">
      <alignment horizontal="center" vertical="center"/>
    </xf>
    <xf numFmtId="14" fontId="6" fillId="0" borderId="25" xfId="0" applyNumberFormat="1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3" fontId="4" fillId="0" borderId="49" xfId="0" applyNumberFormat="1" applyFont="1" applyFill="1" applyBorder="1" applyAlignment="1">
      <alignment horizontal="center" vertical="center"/>
    </xf>
    <xf numFmtId="3" fontId="4" fillId="3" borderId="26" xfId="0" applyNumberFormat="1" applyFont="1" applyFill="1" applyBorder="1" applyAlignment="1">
      <alignment horizontal="center" vertical="center"/>
    </xf>
    <xf numFmtId="0" fontId="8" fillId="0" borderId="31" xfId="0" applyFont="1" applyBorder="1"/>
    <xf numFmtId="3" fontId="4" fillId="0" borderId="50" xfId="0" applyNumberFormat="1" applyFont="1" applyBorder="1" applyAlignment="1">
      <alignment horizontal="center" vertical="center"/>
    </xf>
    <xf numFmtId="14" fontId="2" fillId="2" borderId="51" xfId="0" applyNumberFormat="1" applyFont="1" applyFill="1" applyBorder="1" applyAlignment="1">
      <alignment horizontal="center" vertical="center"/>
    </xf>
    <xf numFmtId="3" fontId="4" fillId="0" borderId="27" xfId="0" applyNumberFormat="1" applyFont="1" applyFill="1" applyBorder="1" applyAlignment="1">
      <alignment horizontal="center" vertical="center"/>
    </xf>
    <xf numFmtId="3" fontId="4" fillId="0" borderId="18" xfId="0" applyNumberFormat="1" applyFont="1" applyFill="1" applyBorder="1" applyAlignment="1">
      <alignment horizontal="center" vertical="center"/>
    </xf>
    <xf numFmtId="3" fontId="4" fillId="0" borderId="19" xfId="0" applyNumberFormat="1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14" fontId="6" fillId="0" borderId="47" xfId="0" applyNumberFormat="1" applyFont="1" applyFill="1" applyBorder="1" applyAlignment="1">
      <alignment horizontal="center" vertical="center" wrapText="1"/>
    </xf>
    <xf numFmtId="3" fontId="4" fillId="0" borderId="27" xfId="0" applyNumberFormat="1" applyFont="1" applyFill="1" applyBorder="1" applyAlignment="1">
      <alignment horizontal="center" vertical="center" wrapText="1"/>
    </xf>
    <xf numFmtId="3" fontId="4" fillId="0" borderId="18" xfId="0" applyNumberFormat="1" applyFont="1" applyFill="1" applyBorder="1" applyAlignment="1">
      <alignment horizontal="center" vertical="center" wrapText="1"/>
    </xf>
    <xf numFmtId="3" fontId="4" fillId="0" borderId="19" xfId="0" applyNumberFormat="1" applyFont="1" applyFill="1" applyBorder="1" applyAlignment="1">
      <alignment horizontal="center" vertical="center" wrapText="1"/>
    </xf>
    <xf numFmtId="14" fontId="6" fillId="0" borderId="19" xfId="0" applyNumberFormat="1" applyFont="1" applyFill="1" applyBorder="1" applyAlignment="1">
      <alignment horizontal="center" vertical="center" wrapText="1"/>
    </xf>
    <xf numFmtId="14" fontId="6" fillId="0" borderId="48" xfId="0" applyNumberFormat="1" applyFont="1" applyFill="1" applyBorder="1" applyAlignment="1">
      <alignment horizontal="center" vertical="center" wrapText="1"/>
    </xf>
    <xf numFmtId="14" fontId="6" fillId="0" borderId="27" xfId="0" applyNumberFormat="1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3" fontId="4" fillId="0" borderId="11" xfId="0" applyNumberFormat="1" applyFont="1" applyFill="1" applyBorder="1" applyAlignment="1">
      <alignment horizontal="center" vertical="center" wrapText="1"/>
    </xf>
    <xf numFmtId="3" fontId="4" fillId="0" borderId="33" xfId="0" applyNumberFormat="1" applyFont="1" applyFill="1" applyBorder="1" applyAlignment="1">
      <alignment horizontal="center" vertical="center"/>
    </xf>
    <xf numFmtId="14" fontId="2" fillId="2" borderId="46" xfId="0" applyNumberFormat="1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left" vertical="center" wrapText="1"/>
    </xf>
    <xf numFmtId="0" fontId="6" fillId="0" borderId="46" xfId="0" applyFont="1" applyFill="1" applyBorder="1" applyAlignment="1">
      <alignment horizontal="left" vertical="center" wrapText="1"/>
    </xf>
    <xf numFmtId="14" fontId="6" fillId="0" borderId="54" xfId="0" applyNumberFormat="1" applyFont="1" applyFill="1" applyBorder="1" applyAlignment="1">
      <alignment horizontal="center" vertical="center" wrapText="1"/>
    </xf>
    <xf numFmtId="3" fontId="4" fillId="0" borderId="54" xfId="0" applyNumberFormat="1" applyFont="1" applyFill="1" applyBorder="1" applyAlignment="1">
      <alignment horizontal="center" vertical="center" wrapText="1"/>
    </xf>
    <xf numFmtId="3" fontId="4" fillId="0" borderId="54" xfId="0" applyNumberFormat="1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left" vertical="center" wrapText="1"/>
    </xf>
    <xf numFmtId="14" fontId="6" fillId="0" borderId="18" xfId="0" applyNumberFormat="1" applyFont="1" applyFill="1" applyBorder="1" applyAlignment="1">
      <alignment horizontal="left" vertical="center" wrapText="1"/>
    </xf>
    <xf numFmtId="14" fontId="6" fillId="0" borderId="55" xfId="0" applyNumberFormat="1" applyFont="1" applyFill="1" applyBorder="1" applyAlignment="1">
      <alignment horizontal="center" vertical="center" wrapText="1"/>
    </xf>
    <xf numFmtId="14" fontId="6" fillId="0" borderId="25" xfId="0" applyNumberFormat="1" applyFont="1" applyFill="1" applyBorder="1" applyAlignment="1">
      <alignment horizontal="center" vertical="center" wrapText="1"/>
    </xf>
    <xf numFmtId="14" fontId="6" fillId="0" borderId="18" xfId="0" applyNumberFormat="1" applyFont="1" applyFill="1" applyBorder="1" applyAlignment="1">
      <alignment horizontal="center" vertical="center" wrapText="1"/>
    </xf>
    <xf numFmtId="14" fontId="2" fillId="3" borderId="33" xfId="0" applyNumberFormat="1" applyFont="1" applyFill="1" applyBorder="1" applyAlignment="1">
      <alignment horizontal="center" vertical="center" wrapText="1"/>
    </xf>
    <xf numFmtId="3" fontId="4" fillId="3" borderId="27" xfId="0" applyNumberFormat="1" applyFont="1" applyFill="1" applyBorder="1" applyAlignment="1">
      <alignment horizontal="center" vertical="center" wrapText="1"/>
    </xf>
    <xf numFmtId="3" fontId="7" fillId="3" borderId="18" xfId="0" applyNumberFormat="1" applyFont="1" applyFill="1" applyBorder="1" applyAlignment="1">
      <alignment horizontal="center" vertical="center" wrapText="1"/>
    </xf>
    <xf numFmtId="3" fontId="4" fillId="3" borderId="19" xfId="0" applyNumberFormat="1" applyFont="1" applyFill="1" applyBorder="1" applyAlignment="1">
      <alignment horizontal="center" vertical="center" wrapText="1"/>
    </xf>
    <xf numFmtId="3" fontId="7" fillId="0" borderId="18" xfId="0" applyNumberFormat="1" applyFont="1" applyFill="1" applyBorder="1" applyAlignment="1">
      <alignment horizontal="center" vertical="center" wrapText="1"/>
    </xf>
    <xf numFmtId="3" fontId="4" fillId="0" borderId="56" xfId="0" applyNumberFormat="1" applyFont="1" applyFill="1" applyBorder="1" applyAlignment="1">
      <alignment horizontal="center" vertical="center"/>
    </xf>
    <xf numFmtId="14" fontId="6" fillId="0" borderId="57" xfId="0" applyNumberFormat="1" applyFont="1" applyFill="1" applyBorder="1" applyAlignment="1">
      <alignment horizontal="left" vertical="center" wrapText="1"/>
    </xf>
    <xf numFmtId="14" fontId="6" fillId="0" borderId="16" xfId="0" applyNumberFormat="1" applyFont="1" applyFill="1" applyBorder="1" applyAlignment="1">
      <alignment horizontal="left" vertical="center" wrapText="1"/>
    </xf>
    <xf numFmtId="3" fontId="4" fillId="0" borderId="16" xfId="0" applyNumberFormat="1" applyFont="1" applyFill="1" applyBorder="1" applyAlignment="1">
      <alignment horizontal="center" vertical="center" wrapText="1"/>
    </xf>
    <xf numFmtId="3" fontId="7" fillId="0" borderId="16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tabSelected="1" zoomScale="73" zoomScaleNormal="73" workbookViewId="0">
      <pane xSplit="8" ySplit="1" topLeftCell="M2" activePane="bottomRight" state="frozen"/>
      <selection pane="topRight" activeCell="C1" sqref="C1"/>
      <selection pane="bottomLeft" activeCell="A2" sqref="A2"/>
      <selection pane="bottomRight" activeCell="F5" sqref="F5"/>
    </sheetView>
  </sheetViews>
  <sheetFormatPr defaultRowHeight="14.25" x14ac:dyDescent="0.2"/>
  <cols>
    <col min="1" max="6" width="42.85546875" style="1" customWidth="1"/>
    <col min="7" max="7" width="32.42578125" style="1" customWidth="1"/>
    <col min="8" max="8" width="31.85546875" style="1" customWidth="1"/>
    <col min="9" max="41" width="17.7109375" style="1" customWidth="1"/>
    <col min="42" max="42" width="32.28515625" style="1" customWidth="1"/>
    <col min="43" max="16384" width="9.140625" style="1"/>
  </cols>
  <sheetData>
    <row r="1" spans="1:45" s="94" customFormat="1" ht="57" customHeight="1" thickBot="1" x14ac:dyDescent="0.4">
      <c r="A1" s="165" t="s">
        <v>20</v>
      </c>
      <c r="B1" s="166"/>
      <c r="C1" s="166"/>
      <c r="D1" s="166"/>
      <c r="E1" s="166"/>
      <c r="F1" s="166"/>
      <c r="G1" s="166"/>
      <c r="H1" s="167"/>
      <c r="I1" s="163" t="s">
        <v>21</v>
      </c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93" t="s">
        <v>47</v>
      </c>
    </row>
    <row r="2" spans="1:45" s="95" customFormat="1" ht="42" customHeight="1" thickBot="1" x14ac:dyDescent="0.35">
      <c r="A2" s="70" t="s">
        <v>0</v>
      </c>
      <c r="B2" s="75" t="s">
        <v>1</v>
      </c>
      <c r="C2" s="106" t="s">
        <v>169</v>
      </c>
      <c r="D2" s="106" t="s">
        <v>170</v>
      </c>
      <c r="E2" s="112" t="s">
        <v>168</v>
      </c>
      <c r="F2" s="106" t="s">
        <v>148</v>
      </c>
      <c r="G2" s="126" t="s">
        <v>171</v>
      </c>
      <c r="H2" s="126" t="s">
        <v>172</v>
      </c>
      <c r="I2" s="73">
        <v>46212</v>
      </c>
      <c r="J2" s="74">
        <v>46218</v>
      </c>
      <c r="K2" s="74">
        <v>46219</v>
      </c>
      <c r="L2" s="74">
        <v>46221</v>
      </c>
      <c r="M2" s="74">
        <v>46225</v>
      </c>
      <c r="N2" s="74">
        <v>46230</v>
      </c>
      <c r="O2" s="74">
        <v>46235</v>
      </c>
      <c r="P2" s="74">
        <v>46239</v>
      </c>
      <c r="Q2" s="74">
        <v>46240</v>
      </c>
      <c r="R2" s="74">
        <v>46245</v>
      </c>
      <c r="S2" s="74">
        <v>46249</v>
      </c>
      <c r="T2" s="74">
        <v>46251</v>
      </c>
      <c r="U2" s="74">
        <v>46257</v>
      </c>
      <c r="V2" s="74">
        <v>46258</v>
      </c>
      <c r="W2" s="74">
        <v>46260</v>
      </c>
      <c r="X2" s="74">
        <v>46268</v>
      </c>
      <c r="Y2" s="74">
        <v>46270</v>
      </c>
      <c r="Z2" s="74">
        <v>46272</v>
      </c>
      <c r="AA2" s="74">
        <v>46278</v>
      </c>
      <c r="AB2" s="74">
        <v>46280</v>
      </c>
      <c r="AC2" s="74">
        <v>46287</v>
      </c>
      <c r="AD2" s="74">
        <v>46290</v>
      </c>
      <c r="AE2" s="74">
        <v>46298</v>
      </c>
      <c r="AF2" s="74">
        <v>46302</v>
      </c>
      <c r="AG2" s="74">
        <v>46308</v>
      </c>
      <c r="AH2" s="74">
        <v>46312</v>
      </c>
      <c r="AI2" s="74">
        <v>46318</v>
      </c>
      <c r="AJ2" s="74">
        <v>46328</v>
      </c>
      <c r="AK2" s="74">
        <v>46338</v>
      </c>
      <c r="AL2" s="74">
        <v>46348</v>
      </c>
      <c r="AM2" s="74">
        <v>46358</v>
      </c>
      <c r="AN2" s="74">
        <v>46368</v>
      </c>
      <c r="AO2" s="75">
        <v>46378</v>
      </c>
    </row>
    <row r="3" spans="1:45" ht="48" customHeight="1" x14ac:dyDescent="0.2">
      <c r="A3" s="54" t="s">
        <v>2</v>
      </c>
      <c r="B3" s="55">
        <v>62000</v>
      </c>
      <c r="C3" s="128" t="s">
        <v>179</v>
      </c>
      <c r="D3" s="120" t="s">
        <v>187</v>
      </c>
      <c r="E3" s="133" t="s">
        <v>149</v>
      </c>
      <c r="F3" s="108" t="s">
        <v>150</v>
      </c>
      <c r="G3" s="127" t="s">
        <v>173</v>
      </c>
      <c r="H3" s="127" t="s">
        <v>174</v>
      </c>
      <c r="I3" s="56"/>
      <c r="J3" s="58">
        <v>4000</v>
      </c>
      <c r="K3" s="58"/>
      <c r="L3" s="58"/>
      <c r="M3" s="58"/>
      <c r="N3" s="59"/>
      <c r="O3" s="58"/>
      <c r="P3" s="58">
        <v>4000</v>
      </c>
      <c r="Q3" s="58"/>
      <c r="R3" s="96"/>
      <c r="S3" s="58"/>
      <c r="T3" s="58"/>
      <c r="U3" s="58"/>
      <c r="V3" s="58"/>
      <c r="W3" s="58">
        <v>4000</v>
      </c>
      <c r="X3" s="58">
        <v>4000</v>
      </c>
      <c r="Y3" s="58"/>
      <c r="Z3" s="58"/>
      <c r="AA3" s="58">
        <v>4000</v>
      </c>
      <c r="AB3" s="58"/>
      <c r="AC3" s="58">
        <v>4000</v>
      </c>
      <c r="AD3" s="58"/>
      <c r="AE3" s="58">
        <v>4000</v>
      </c>
      <c r="AF3" s="58"/>
      <c r="AG3" s="58">
        <v>4000</v>
      </c>
      <c r="AH3" s="58"/>
      <c r="AI3" s="58">
        <v>4000</v>
      </c>
      <c r="AJ3" s="58">
        <v>4000</v>
      </c>
      <c r="AK3" s="58">
        <v>4000</v>
      </c>
      <c r="AL3" s="58">
        <v>4000</v>
      </c>
      <c r="AM3" s="58">
        <v>4000</v>
      </c>
      <c r="AN3" s="58">
        <v>4000</v>
      </c>
      <c r="AO3" s="68">
        <v>4000</v>
      </c>
      <c r="AP3" s="2"/>
      <c r="AQ3" s="2"/>
      <c r="AR3" s="2"/>
      <c r="AS3" s="2"/>
    </row>
    <row r="4" spans="1:45" ht="60" customHeight="1" x14ac:dyDescent="0.2">
      <c r="A4" s="27" t="s">
        <v>3</v>
      </c>
      <c r="B4" s="30">
        <v>61400</v>
      </c>
      <c r="C4" s="129" t="s">
        <v>180</v>
      </c>
      <c r="D4" s="120" t="s">
        <v>187</v>
      </c>
      <c r="E4" s="134" t="s">
        <v>152</v>
      </c>
      <c r="F4" s="109" t="s">
        <v>153</v>
      </c>
      <c r="G4" s="127" t="s">
        <v>173</v>
      </c>
      <c r="H4" s="127" t="s">
        <v>174</v>
      </c>
      <c r="I4" s="3"/>
      <c r="J4" s="4"/>
      <c r="K4" s="4">
        <v>1100</v>
      </c>
      <c r="L4" s="4"/>
      <c r="M4" s="4"/>
      <c r="N4" s="12">
        <f>7500-K4</f>
        <v>6400</v>
      </c>
      <c r="O4" s="12">
        <v>7500</v>
      </c>
      <c r="P4" s="12"/>
      <c r="Q4" s="12">
        <v>7500</v>
      </c>
      <c r="R4" s="14">
        <v>7500</v>
      </c>
      <c r="S4" s="12">
        <v>4800</v>
      </c>
      <c r="T4" s="12"/>
      <c r="U4" s="12">
        <v>7500</v>
      </c>
      <c r="V4" s="12"/>
      <c r="W4" s="12">
        <v>7500</v>
      </c>
      <c r="X4" s="12">
        <v>7500</v>
      </c>
      <c r="Y4" s="12"/>
      <c r="Z4" s="12">
        <v>7500</v>
      </c>
      <c r="AA4" s="16"/>
      <c r="AB4" s="9"/>
      <c r="AC4" s="9"/>
      <c r="AD4" s="9"/>
      <c r="AE4" s="9"/>
      <c r="AF4" s="9"/>
      <c r="AG4" s="9"/>
      <c r="AH4" s="9"/>
      <c r="AI4" s="12"/>
      <c r="AJ4" s="12"/>
      <c r="AK4" s="12"/>
      <c r="AL4" s="12"/>
      <c r="AM4" s="12"/>
      <c r="AN4" s="12"/>
      <c r="AO4" s="15"/>
      <c r="AP4" s="2"/>
      <c r="AQ4" s="2"/>
      <c r="AR4" s="2"/>
      <c r="AS4" s="2"/>
    </row>
    <row r="5" spans="1:45" s="39" customFormat="1" ht="47.25" customHeight="1" x14ac:dyDescent="0.2">
      <c r="A5" s="27" t="s">
        <v>4</v>
      </c>
      <c r="B5" s="30">
        <v>60400</v>
      </c>
      <c r="C5" s="129" t="s">
        <v>180</v>
      </c>
      <c r="D5" s="120" t="s">
        <v>187</v>
      </c>
      <c r="E5" s="134" t="s">
        <v>152</v>
      </c>
      <c r="F5" s="109" t="s">
        <v>153</v>
      </c>
      <c r="G5" s="127" t="s">
        <v>173</v>
      </c>
      <c r="H5" s="127" t="s">
        <v>174</v>
      </c>
      <c r="I5" s="3"/>
      <c r="J5" s="4"/>
      <c r="K5" s="4"/>
      <c r="L5" s="4"/>
      <c r="M5" s="4"/>
      <c r="N5" s="4">
        <v>10000</v>
      </c>
      <c r="O5" s="4"/>
      <c r="P5" s="4"/>
      <c r="Q5" s="4"/>
      <c r="R5" s="3"/>
      <c r="S5" s="4"/>
      <c r="T5" s="4">
        <v>20000</v>
      </c>
      <c r="U5" s="4"/>
      <c r="V5" s="4"/>
      <c r="W5" s="37"/>
      <c r="X5" s="4"/>
      <c r="Y5" s="4"/>
      <c r="Z5" s="37"/>
      <c r="AA5" s="4"/>
      <c r="AB5" s="4">
        <v>34000</v>
      </c>
      <c r="AC5" s="37"/>
      <c r="AD5" s="37"/>
      <c r="AE5" s="4"/>
      <c r="AF5" s="4"/>
      <c r="AG5" s="37"/>
      <c r="AH5" s="37"/>
      <c r="AI5" s="4"/>
      <c r="AJ5" s="4"/>
      <c r="AK5" s="4"/>
      <c r="AL5" s="4"/>
      <c r="AM5" s="4"/>
      <c r="AN5" s="4"/>
      <c r="AO5" s="8"/>
      <c r="AP5" s="38"/>
      <c r="AQ5" s="38"/>
      <c r="AR5" s="38"/>
      <c r="AS5" s="38"/>
    </row>
    <row r="6" spans="1:45" ht="54" x14ac:dyDescent="0.2">
      <c r="A6" s="27" t="s">
        <v>5</v>
      </c>
      <c r="B6" s="30">
        <v>61000</v>
      </c>
      <c r="C6" s="129" t="s">
        <v>180</v>
      </c>
      <c r="D6" s="120" t="s">
        <v>187</v>
      </c>
      <c r="E6" s="134" t="s">
        <v>154</v>
      </c>
      <c r="F6" s="109" t="s">
        <v>153</v>
      </c>
      <c r="G6" s="127" t="s">
        <v>173</v>
      </c>
      <c r="H6" s="127" t="s">
        <v>174</v>
      </c>
      <c r="I6" s="3"/>
      <c r="J6" s="4"/>
      <c r="K6" s="4"/>
      <c r="L6" s="4"/>
      <c r="M6" s="4"/>
      <c r="N6" s="12"/>
      <c r="O6" s="12"/>
      <c r="P6" s="12"/>
      <c r="Q6" s="12"/>
      <c r="R6" s="14">
        <v>7500</v>
      </c>
      <c r="S6" s="12"/>
      <c r="T6" s="12">
        <v>29000</v>
      </c>
      <c r="U6" s="12"/>
      <c r="V6" s="12">
        <v>24500</v>
      </c>
      <c r="W6" s="9"/>
      <c r="X6" s="9"/>
      <c r="Y6" s="9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5"/>
      <c r="AP6" s="2"/>
      <c r="AQ6" s="2"/>
      <c r="AR6" s="2"/>
      <c r="AS6" s="2"/>
    </row>
    <row r="7" spans="1:45" ht="75.75" customHeight="1" x14ac:dyDescent="0.2">
      <c r="A7" s="27" t="s">
        <v>6</v>
      </c>
      <c r="B7" s="30">
        <f>18000+21000</f>
        <v>39000</v>
      </c>
      <c r="C7" s="129" t="s">
        <v>181</v>
      </c>
      <c r="D7" s="120" t="s">
        <v>187</v>
      </c>
      <c r="E7" s="134" t="s">
        <v>156</v>
      </c>
      <c r="F7" s="113" t="s">
        <v>184</v>
      </c>
      <c r="G7" s="127" t="s">
        <v>173</v>
      </c>
      <c r="H7" s="127" t="s">
        <v>174</v>
      </c>
      <c r="I7" s="3"/>
      <c r="J7" s="4"/>
      <c r="K7" s="4"/>
      <c r="L7" s="4">
        <v>10000</v>
      </c>
      <c r="M7" s="4">
        <v>15000</v>
      </c>
      <c r="N7" s="4"/>
      <c r="O7" s="4">
        <v>15000</v>
      </c>
      <c r="P7" s="4"/>
      <c r="Q7" s="4"/>
      <c r="R7" s="3"/>
      <c r="S7" s="4"/>
      <c r="T7" s="4"/>
      <c r="U7" s="4"/>
      <c r="V7" s="4"/>
      <c r="W7" s="9"/>
      <c r="X7" s="9"/>
      <c r="Y7" s="9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5"/>
      <c r="AP7" s="2"/>
      <c r="AQ7" s="2"/>
      <c r="AR7" s="2"/>
      <c r="AS7" s="2"/>
    </row>
    <row r="8" spans="1:45" ht="76.5" customHeight="1" x14ac:dyDescent="0.2">
      <c r="A8" s="27" t="s">
        <v>7</v>
      </c>
      <c r="B8" s="30">
        <v>23000</v>
      </c>
      <c r="C8" s="129" t="s">
        <v>181</v>
      </c>
      <c r="D8" s="120" t="s">
        <v>187</v>
      </c>
      <c r="E8" s="134" t="s">
        <v>156</v>
      </c>
      <c r="F8" s="113" t="s">
        <v>155</v>
      </c>
      <c r="G8" s="127" t="s">
        <v>173</v>
      </c>
      <c r="H8" s="127" t="s">
        <v>174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2">
        <v>5000</v>
      </c>
      <c r="Y8" s="12">
        <v>10000</v>
      </c>
      <c r="Z8" s="12"/>
      <c r="AA8" s="12"/>
      <c r="AB8" s="12">
        <v>10000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5"/>
      <c r="AP8" s="2"/>
      <c r="AQ8" s="2"/>
      <c r="AR8" s="2"/>
      <c r="AS8" s="2"/>
    </row>
    <row r="9" spans="1:45" ht="54" x14ac:dyDescent="0.2">
      <c r="A9" s="27" t="s">
        <v>8</v>
      </c>
      <c r="B9" s="30">
        <v>70000</v>
      </c>
      <c r="C9" s="121" t="s">
        <v>177</v>
      </c>
      <c r="D9" s="120" t="s">
        <v>187</v>
      </c>
      <c r="E9" s="134" t="s">
        <v>151</v>
      </c>
      <c r="F9" s="109" t="s">
        <v>157</v>
      </c>
      <c r="G9" s="127" t="s">
        <v>173</v>
      </c>
      <c r="H9" s="127" t="s">
        <v>174</v>
      </c>
      <c r="I9" s="3">
        <v>70000</v>
      </c>
      <c r="J9" s="12"/>
      <c r="K9" s="12"/>
      <c r="L9" s="12"/>
      <c r="N9" s="12"/>
      <c r="O9" s="12"/>
      <c r="P9" s="12"/>
      <c r="Q9" s="12"/>
      <c r="R9" s="14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5"/>
      <c r="AP9" s="2"/>
      <c r="AQ9" s="2"/>
      <c r="AR9" s="2"/>
      <c r="AS9" s="2"/>
    </row>
    <row r="10" spans="1:45" ht="31.5" customHeight="1" x14ac:dyDescent="0.2">
      <c r="A10" s="28" t="s">
        <v>9</v>
      </c>
      <c r="B10" s="30">
        <v>58000</v>
      </c>
      <c r="C10" s="121" t="s">
        <v>175</v>
      </c>
      <c r="D10" s="120" t="s">
        <v>187</v>
      </c>
      <c r="E10" s="135" t="s">
        <v>158</v>
      </c>
      <c r="F10" s="110" t="s">
        <v>159</v>
      </c>
      <c r="G10" s="127" t="s">
        <v>173</v>
      </c>
      <c r="H10" s="127" t="s">
        <v>174</v>
      </c>
      <c r="I10" s="3"/>
      <c r="J10" s="4"/>
      <c r="K10" s="4"/>
      <c r="L10" s="4"/>
      <c r="M10" s="4"/>
      <c r="N10" s="4"/>
      <c r="O10" s="4"/>
      <c r="P10" s="4"/>
      <c r="Q10" s="4"/>
      <c r="R10" s="3"/>
      <c r="S10" s="12">
        <v>20000</v>
      </c>
      <c r="T10" s="12"/>
      <c r="U10" s="12"/>
      <c r="V10" s="12"/>
      <c r="W10" s="12"/>
      <c r="X10" s="12">
        <v>38000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5"/>
      <c r="AP10" s="2"/>
      <c r="AQ10" s="2"/>
      <c r="AR10" s="2"/>
      <c r="AS10" s="2"/>
    </row>
    <row r="11" spans="1:45" ht="54" x14ac:dyDescent="0.2">
      <c r="A11" s="41" t="s">
        <v>10</v>
      </c>
      <c r="B11" s="30">
        <v>62000</v>
      </c>
      <c r="C11" s="129" t="s">
        <v>194</v>
      </c>
      <c r="D11" s="120" t="s">
        <v>187</v>
      </c>
      <c r="E11" s="136" t="s">
        <v>160</v>
      </c>
      <c r="F11" s="111" t="s">
        <v>195</v>
      </c>
      <c r="G11" s="127" t="s">
        <v>173</v>
      </c>
      <c r="H11" s="127" t="s">
        <v>174</v>
      </c>
      <c r="I11" s="3"/>
      <c r="J11" s="12"/>
      <c r="K11" s="12"/>
      <c r="L11" s="12"/>
      <c r="M11" s="12"/>
      <c r="N11" s="12"/>
      <c r="O11" s="12"/>
      <c r="P11" s="12"/>
      <c r="Q11" s="12"/>
      <c r="R11" s="14"/>
      <c r="S11" s="12"/>
      <c r="T11" s="12">
        <v>1000</v>
      </c>
      <c r="V11" s="12">
        <v>20736</v>
      </c>
      <c r="W11" s="12"/>
      <c r="X11" s="12"/>
      <c r="Y11" s="12"/>
      <c r="Z11" s="12"/>
      <c r="AA11" s="12"/>
      <c r="AB11" s="12"/>
      <c r="AC11" s="12"/>
      <c r="AD11" s="12">
        <v>19000</v>
      </c>
      <c r="AE11" s="12"/>
      <c r="AF11" s="12"/>
      <c r="AG11" s="12"/>
      <c r="AH11" s="12"/>
      <c r="AI11" s="12">
        <v>21264</v>
      </c>
      <c r="AJ11" s="12"/>
      <c r="AK11" s="12"/>
      <c r="AL11" s="12"/>
      <c r="AM11" s="12"/>
      <c r="AN11" s="12"/>
      <c r="AO11" s="15"/>
      <c r="AP11" s="2"/>
      <c r="AQ11" s="2"/>
      <c r="AR11" s="2"/>
      <c r="AS11" s="2"/>
    </row>
    <row r="12" spans="1:45" ht="72" x14ac:dyDescent="0.2">
      <c r="A12" s="27" t="s">
        <v>11</v>
      </c>
      <c r="B12" s="30">
        <v>125000</v>
      </c>
      <c r="C12" s="121" t="s">
        <v>175</v>
      </c>
      <c r="D12" s="120" t="s">
        <v>187</v>
      </c>
      <c r="E12" s="133" t="s">
        <v>154</v>
      </c>
      <c r="F12" s="113" t="s">
        <v>184</v>
      </c>
      <c r="G12" s="127" t="s">
        <v>173</v>
      </c>
      <c r="H12" s="127" t="s">
        <v>174</v>
      </c>
      <c r="I12" s="3"/>
      <c r="J12" s="4"/>
      <c r="K12" s="4"/>
      <c r="L12" s="4">
        <v>4000</v>
      </c>
      <c r="M12" s="12">
        <f>14500-L12</f>
        <v>10500</v>
      </c>
      <c r="N12" s="12"/>
      <c r="O12" s="12"/>
      <c r="P12" s="12">
        <v>10000</v>
      </c>
      <c r="Q12" s="12"/>
      <c r="R12" s="14"/>
      <c r="S12" s="12"/>
      <c r="T12" s="12">
        <v>20000</v>
      </c>
      <c r="U12" s="12">
        <v>20500</v>
      </c>
      <c r="V12" s="12"/>
      <c r="W12" s="12"/>
      <c r="X12" s="12"/>
      <c r="Y12" s="12"/>
      <c r="Z12" s="12"/>
      <c r="AA12" s="12"/>
      <c r="AB12" s="12"/>
      <c r="AC12" s="12">
        <v>20000</v>
      </c>
      <c r="AD12" s="12"/>
      <c r="AE12" s="12">
        <v>20000</v>
      </c>
      <c r="AG12" s="12"/>
      <c r="AH12" s="12">
        <v>20000</v>
      </c>
      <c r="AI12" s="12"/>
      <c r="AJ12" s="12"/>
      <c r="AK12" s="12"/>
      <c r="AL12" s="12"/>
      <c r="AM12" s="12"/>
      <c r="AN12" s="12"/>
      <c r="AO12" s="15"/>
      <c r="AP12" s="2"/>
      <c r="AQ12" s="2"/>
      <c r="AR12" s="2"/>
      <c r="AS12" s="2"/>
    </row>
    <row r="13" spans="1:45" ht="72" x14ac:dyDescent="0.2">
      <c r="A13" s="27" t="s">
        <v>12</v>
      </c>
      <c r="B13" s="30">
        <v>69000</v>
      </c>
      <c r="C13" s="129" t="s">
        <v>182</v>
      </c>
      <c r="D13" s="120" t="s">
        <v>187</v>
      </c>
      <c r="E13" s="134" t="s">
        <v>167</v>
      </c>
      <c r="F13" s="113" t="s">
        <v>205</v>
      </c>
      <c r="G13" s="127" t="s">
        <v>173</v>
      </c>
      <c r="H13" s="127" t="s">
        <v>174</v>
      </c>
      <c r="I13" s="3"/>
      <c r="J13" s="4"/>
      <c r="K13" s="4"/>
      <c r="L13" s="4"/>
      <c r="M13" s="12">
        <v>60000</v>
      </c>
      <c r="N13" s="12"/>
      <c r="O13" s="12"/>
      <c r="P13" s="12"/>
      <c r="Q13" s="12"/>
      <c r="R13" s="14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5"/>
      <c r="AP13" s="2"/>
      <c r="AQ13" s="2"/>
      <c r="AR13" s="2"/>
      <c r="AS13" s="2"/>
    </row>
    <row r="14" spans="1:45" ht="72" x14ac:dyDescent="0.2">
      <c r="A14" s="27" t="s">
        <v>13</v>
      </c>
      <c r="B14" s="30">
        <v>34000</v>
      </c>
      <c r="C14" s="129" t="s">
        <v>182</v>
      </c>
      <c r="D14" s="120" t="s">
        <v>187</v>
      </c>
      <c r="E14" s="134" t="s">
        <v>165</v>
      </c>
      <c r="F14" s="109" t="s">
        <v>166</v>
      </c>
      <c r="G14" s="127" t="s">
        <v>173</v>
      </c>
      <c r="H14" s="127" t="s">
        <v>174</v>
      </c>
      <c r="I14" s="3"/>
      <c r="J14" s="4"/>
      <c r="K14" s="4"/>
      <c r="L14" s="4"/>
      <c r="M14" s="12">
        <v>23500</v>
      </c>
      <c r="N14" s="12"/>
      <c r="O14" s="12"/>
      <c r="P14" s="12"/>
      <c r="Q14" s="12"/>
      <c r="R14" s="14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5"/>
      <c r="AP14" s="2"/>
      <c r="AQ14" s="2"/>
      <c r="AR14" s="2"/>
      <c r="AS14" s="2"/>
    </row>
    <row r="15" spans="1:45" ht="72" x14ac:dyDescent="0.2">
      <c r="A15" s="27" t="s">
        <v>14</v>
      </c>
      <c r="B15" s="30">
        <v>70000</v>
      </c>
      <c r="C15" s="129" t="s">
        <v>182</v>
      </c>
      <c r="D15" s="120" t="s">
        <v>187</v>
      </c>
      <c r="E15" s="134" t="s">
        <v>163</v>
      </c>
      <c r="F15" s="109" t="s">
        <v>205</v>
      </c>
      <c r="G15" s="127" t="s">
        <v>173</v>
      </c>
      <c r="H15" s="127" t="s">
        <v>174</v>
      </c>
      <c r="I15" s="3"/>
      <c r="J15" s="4"/>
      <c r="K15" s="4"/>
      <c r="L15" s="4"/>
      <c r="M15" s="12">
        <v>59500</v>
      </c>
      <c r="N15" s="12"/>
      <c r="O15" s="12"/>
      <c r="P15" s="12"/>
      <c r="Q15" s="12"/>
      <c r="R15" s="14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5"/>
      <c r="AP15" s="2"/>
      <c r="AQ15" s="2"/>
      <c r="AR15" s="2"/>
      <c r="AS15" s="2"/>
    </row>
    <row r="16" spans="1:45" ht="78.75" customHeight="1" x14ac:dyDescent="0.2">
      <c r="A16" s="27" t="s">
        <v>15</v>
      </c>
      <c r="B16" s="30">
        <v>70000</v>
      </c>
      <c r="C16" s="129" t="s">
        <v>182</v>
      </c>
      <c r="D16" s="120" t="s">
        <v>187</v>
      </c>
      <c r="E16" s="134" t="s">
        <v>163</v>
      </c>
      <c r="F16" s="109" t="s">
        <v>205</v>
      </c>
      <c r="G16" s="127" t="s">
        <v>173</v>
      </c>
      <c r="H16" s="127" t="s">
        <v>174</v>
      </c>
      <c r="I16" s="3"/>
      <c r="J16" s="12">
        <v>40000</v>
      </c>
      <c r="K16" s="12"/>
      <c r="L16" s="12"/>
      <c r="M16" s="12"/>
      <c r="N16" s="12"/>
      <c r="O16" s="12">
        <v>30000</v>
      </c>
      <c r="P16" s="12"/>
      <c r="Q16" s="12"/>
      <c r="R16" s="14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5"/>
      <c r="AP16" s="2"/>
      <c r="AQ16" s="2"/>
      <c r="AR16" s="2"/>
      <c r="AS16" s="2"/>
    </row>
    <row r="17" spans="1:45" ht="49.5" customHeight="1" x14ac:dyDescent="0.2">
      <c r="A17" s="28" t="s">
        <v>16</v>
      </c>
      <c r="B17" s="30">
        <v>60000</v>
      </c>
      <c r="C17" s="121" t="s">
        <v>183</v>
      </c>
      <c r="D17" s="120" t="s">
        <v>187</v>
      </c>
      <c r="E17" s="134" t="s">
        <v>161</v>
      </c>
      <c r="F17" s="110" t="s">
        <v>206</v>
      </c>
      <c r="G17" s="127" t="s">
        <v>173</v>
      </c>
      <c r="H17" s="127" t="s">
        <v>174</v>
      </c>
      <c r="I17" s="3"/>
      <c r="J17" s="12">
        <v>500</v>
      </c>
      <c r="K17" s="12"/>
      <c r="L17" s="12"/>
      <c r="M17" s="12"/>
      <c r="N17" s="12"/>
      <c r="O17" s="12"/>
      <c r="P17" s="12">
        <f>B17-J17</f>
        <v>59500</v>
      </c>
      <c r="Q17" s="12"/>
      <c r="R17" s="14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5"/>
      <c r="AP17" s="2"/>
      <c r="AQ17" s="2"/>
      <c r="AR17" s="2"/>
      <c r="AS17" s="2"/>
    </row>
    <row r="18" spans="1:45" ht="93" customHeight="1" x14ac:dyDescent="0.2">
      <c r="A18" s="28" t="s">
        <v>17</v>
      </c>
      <c r="B18" s="30">
        <f>9000+15500</f>
        <v>24500</v>
      </c>
      <c r="C18" s="129" t="s">
        <v>186</v>
      </c>
      <c r="D18" s="120" t="s">
        <v>187</v>
      </c>
      <c r="E18" s="135" t="s">
        <v>162</v>
      </c>
      <c r="F18" s="110" t="s">
        <v>207</v>
      </c>
      <c r="G18" s="127" t="s">
        <v>173</v>
      </c>
      <c r="H18" s="127" t="s">
        <v>174</v>
      </c>
      <c r="I18" s="3"/>
      <c r="J18" s="12">
        <v>24500</v>
      </c>
      <c r="K18" s="12"/>
      <c r="L18" s="12"/>
      <c r="M18" s="12"/>
      <c r="N18" s="12"/>
      <c r="O18" s="12"/>
      <c r="P18" s="12"/>
      <c r="Q18" s="12"/>
      <c r="R18" s="14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5"/>
      <c r="AP18" s="2"/>
      <c r="AQ18" s="2"/>
      <c r="AR18" s="2"/>
      <c r="AS18" s="2"/>
    </row>
    <row r="19" spans="1:45" ht="80.25" customHeight="1" thickBot="1" x14ac:dyDescent="0.25">
      <c r="A19" s="28" t="s">
        <v>18</v>
      </c>
      <c r="B19" s="30">
        <v>289000</v>
      </c>
      <c r="C19" s="129" t="s">
        <v>182</v>
      </c>
      <c r="D19" s="120" t="s">
        <v>187</v>
      </c>
      <c r="E19" s="134" t="s">
        <v>163</v>
      </c>
      <c r="F19" s="143" t="s">
        <v>205</v>
      </c>
      <c r="G19" s="127" t="s">
        <v>173</v>
      </c>
      <c r="H19" s="127" t="s">
        <v>174</v>
      </c>
      <c r="I19" s="3"/>
      <c r="J19" s="4"/>
      <c r="K19" s="4"/>
      <c r="L19" s="4"/>
      <c r="M19" s="4"/>
      <c r="N19" s="4"/>
      <c r="O19" s="4"/>
      <c r="P19" s="4"/>
      <c r="Q19" s="12">
        <v>289000</v>
      </c>
      <c r="R19" s="14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5"/>
      <c r="AP19" s="2"/>
      <c r="AQ19" s="2"/>
      <c r="AR19" s="2"/>
      <c r="AS19" s="2"/>
    </row>
    <row r="20" spans="1:45" ht="80.25" customHeight="1" thickBot="1" x14ac:dyDescent="0.25">
      <c r="A20" s="29" t="s">
        <v>19</v>
      </c>
      <c r="B20" s="31">
        <v>59000</v>
      </c>
      <c r="C20" s="130" t="s">
        <v>182</v>
      </c>
      <c r="D20" s="122" t="s">
        <v>187</v>
      </c>
      <c r="E20" s="137" t="s">
        <v>163</v>
      </c>
      <c r="F20" s="144" t="s">
        <v>205</v>
      </c>
      <c r="G20" s="131" t="s">
        <v>173</v>
      </c>
      <c r="H20" s="132" t="s">
        <v>174</v>
      </c>
      <c r="I20" s="10"/>
      <c r="J20" s="11"/>
      <c r="K20" s="11"/>
      <c r="L20" s="11"/>
      <c r="M20" s="11"/>
      <c r="N20" s="11"/>
      <c r="O20" s="17">
        <v>59000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2"/>
      <c r="AQ20" s="2"/>
      <c r="AR20" s="2"/>
      <c r="AS20" s="2"/>
    </row>
  </sheetData>
  <mergeCells count="2">
    <mergeCell ref="I1:AO1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"/>
  <sheetViews>
    <sheetView zoomScale="70" zoomScaleNormal="7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defaultRowHeight="15" x14ac:dyDescent="0.25"/>
  <cols>
    <col min="1" max="1" width="42.85546875" customWidth="1"/>
    <col min="2" max="8" width="33.5703125" customWidth="1"/>
    <col min="9" max="57" width="20.85546875" customWidth="1"/>
  </cols>
  <sheetData>
    <row r="1" spans="1:57" s="65" customFormat="1" ht="27" thickBot="1" x14ac:dyDescent="0.45">
      <c r="A1" s="165" t="s">
        <v>40</v>
      </c>
      <c r="B1" s="167"/>
      <c r="C1" s="69"/>
      <c r="D1" s="105"/>
      <c r="E1" s="105"/>
      <c r="F1" s="105"/>
      <c r="G1" s="105"/>
      <c r="H1" s="105"/>
      <c r="I1" s="163" t="s">
        <v>21</v>
      </c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4"/>
    </row>
    <row r="2" spans="1:57" s="64" customFormat="1" ht="42" customHeight="1" thickBot="1" x14ac:dyDescent="0.4">
      <c r="A2" s="112" t="s">
        <v>0</v>
      </c>
      <c r="B2" s="112" t="s">
        <v>1</v>
      </c>
      <c r="C2" s="106" t="s">
        <v>169</v>
      </c>
      <c r="D2" s="106" t="s">
        <v>170</v>
      </c>
      <c r="E2" s="112" t="s">
        <v>168</v>
      </c>
      <c r="F2" s="123" t="s">
        <v>148</v>
      </c>
      <c r="G2" s="142" t="s">
        <v>171</v>
      </c>
      <c r="H2" s="126" t="s">
        <v>172</v>
      </c>
      <c r="I2" s="73">
        <v>46212</v>
      </c>
      <c r="J2" s="73">
        <v>46215</v>
      </c>
      <c r="K2" s="73">
        <v>46221</v>
      </c>
      <c r="L2" s="73">
        <v>46225</v>
      </c>
      <c r="M2" s="74">
        <v>46231</v>
      </c>
      <c r="N2" s="74">
        <v>46233</v>
      </c>
      <c r="O2" s="74">
        <v>46235</v>
      </c>
      <c r="P2" s="74">
        <v>46238</v>
      </c>
      <c r="Q2" s="74">
        <v>46240</v>
      </c>
      <c r="R2" s="74">
        <v>46241</v>
      </c>
      <c r="S2" s="74">
        <v>46243</v>
      </c>
      <c r="T2" s="74">
        <v>46245</v>
      </c>
      <c r="U2" s="74">
        <v>46246</v>
      </c>
      <c r="V2" s="74">
        <v>46248</v>
      </c>
      <c r="W2" s="74">
        <v>46250</v>
      </c>
      <c r="X2" s="74">
        <v>46251</v>
      </c>
      <c r="Y2" s="74">
        <v>46253</v>
      </c>
      <c r="Z2" s="74">
        <v>46255</v>
      </c>
      <c r="AA2" s="74">
        <v>46258</v>
      </c>
      <c r="AB2" s="74">
        <v>46260</v>
      </c>
      <c r="AC2" s="74">
        <v>46263</v>
      </c>
      <c r="AD2" s="74">
        <v>46264</v>
      </c>
      <c r="AE2" s="74">
        <v>46266</v>
      </c>
      <c r="AF2" s="74">
        <v>46269</v>
      </c>
      <c r="AG2" s="74">
        <v>46272</v>
      </c>
      <c r="AH2" s="74">
        <v>46275</v>
      </c>
      <c r="AI2" s="74">
        <v>46279</v>
      </c>
      <c r="AJ2" s="74">
        <v>46284</v>
      </c>
      <c r="AK2" s="74">
        <v>46289</v>
      </c>
      <c r="AL2" s="74">
        <v>46290</v>
      </c>
      <c r="AM2" s="74">
        <v>46294</v>
      </c>
      <c r="AN2" s="74">
        <v>46298</v>
      </c>
      <c r="AO2" s="74">
        <v>46300</v>
      </c>
      <c r="AP2" s="74">
        <v>46305</v>
      </c>
      <c r="AQ2" s="74">
        <v>46308</v>
      </c>
      <c r="AR2" s="74">
        <v>46310</v>
      </c>
      <c r="AS2" s="74">
        <v>46315</v>
      </c>
      <c r="AT2" s="74">
        <v>46320</v>
      </c>
      <c r="AU2" s="74">
        <v>46325</v>
      </c>
      <c r="AV2" s="74">
        <v>46343</v>
      </c>
      <c r="AW2" s="74">
        <v>46345</v>
      </c>
      <c r="AX2" s="74">
        <v>46350</v>
      </c>
      <c r="AY2" s="74">
        <v>46351</v>
      </c>
      <c r="AZ2" s="74">
        <v>46354</v>
      </c>
      <c r="BA2" s="74">
        <v>46359</v>
      </c>
      <c r="BB2" s="74">
        <v>46364</v>
      </c>
      <c r="BC2" s="74">
        <v>46369</v>
      </c>
      <c r="BD2" s="119">
        <v>46374</v>
      </c>
      <c r="BE2" s="75">
        <v>46379</v>
      </c>
    </row>
    <row r="3" spans="1:57" s="78" customFormat="1" ht="36" x14ac:dyDescent="0.3">
      <c r="A3" s="107" t="s">
        <v>23</v>
      </c>
      <c r="B3" s="55">
        <f>16000+68400</f>
        <v>84400</v>
      </c>
      <c r="C3" s="128" t="s">
        <v>179</v>
      </c>
      <c r="D3" s="120" t="s">
        <v>187</v>
      </c>
      <c r="E3" s="133" t="s">
        <v>149</v>
      </c>
      <c r="F3" s="124" t="s">
        <v>150</v>
      </c>
      <c r="G3" s="133" t="s">
        <v>173</v>
      </c>
      <c r="H3" s="127" t="s">
        <v>174</v>
      </c>
      <c r="I3" s="56">
        <v>2700</v>
      </c>
      <c r="J3" s="56"/>
      <c r="K3" s="56"/>
      <c r="L3" s="56"/>
      <c r="M3" s="56">
        <v>2640</v>
      </c>
      <c r="N3" s="56"/>
      <c r="O3" s="56">
        <v>2700</v>
      </c>
      <c r="P3" s="56">
        <v>2700</v>
      </c>
      <c r="Q3" s="34"/>
      <c r="R3" s="34"/>
      <c r="S3" s="34"/>
      <c r="T3" s="34">
        <v>2700</v>
      </c>
      <c r="U3" s="34"/>
      <c r="V3" s="56">
        <v>2700</v>
      </c>
      <c r="W3" s="34">
        <v>2700</v>
      </c>
      <c r="X3" s="34"/>
      <c r="Y3" s="56">
        <v>2700</v>
      </c>
      <c r="Z3" s="34">
        <v>2700</v>
      </c>
      <c r="AA3" s="56">
        <v>2700</v>
      </c>
      <c r="AB3" s="56"/>
      <c r="AC3" s="56"/>
      <c r="AD3" s="56">
        <v>2700</v>
      </c>
      <c r="AE3" s="56"/>
      <c r="AF3" s="56">
        <v>2700</v>
      </c>
      <c r="AG3" s="56"/>
      <c r="AH3" s="56">
        <v>2700</v>
      </c>
      <c r="AI3" s="56">
        <v>2700</v>
      </c>
      <c r="AJ3" s="56">
        <v>2700</v>
      </c>
      <c r="AK3" s="117"/>
      <c r="AL3" s="57"/>
      <c r="AM3" s="56"/>
      <c r="AN3" s="56"/>
      <c r="AO3" s="56">
        <v>2700</v>
      </c>
      <c r="AP3" s="56">
        <v>2700</v>
      </c>
      <c r="AQ3" s="56"/>
      <c r="AR3" s="56">
        <v>2700</v>
      </c>
      <c r="AS3" s="56">
        <v>2700</v>
      </c>
      <c r="AT3" s="56">
        <v>2700</v>
      </c>
      <c r="AU3" s="56">
        <v>2700</v>
      </c>
      <c r="AV3" s="56">
        <f>8100</f>
        <v>8100</v>
      </c>
      <c r="AW3" s="56">
        <v>2700</v>
      </c>
      <c r="AX3" s="58">
        <v>2700</v>
      </c>
      <c r="AY3" s="58">
        <v>2700</v>
      </c>
      <c r="AZ3" s="58">
        <v>2700</v>
      </c>
      <c r="BA3" s="58">
        <v>2700</v>
      </c>
      <c r="BB3" s="58">
        <v>2700</v>
      </c>
      <c r="BC3" s="58">
        <v>2700</v>
      </c>
      <c r="BD3" s="118">
        <v>2700</v>
      </c>
      <c r="BE3" s="68">
        <v>760</v>
      </c>
    </row>
    <row r="4" spans="1:57" s="78" customFormat="1" ht="36" x14ac:dyDescent="0.3">
      <c r="A4" s="42" t="s">
        <v>24</v>
      </c>
      <c r="B4" s="49">
        <f>16000+54000</f>
        <v>70000</v>
      </c>
      <c r="C4" s="129" t="s">
        <v>189</v>
      </c>
      <c r="D4" s="120" t="s">
        <v>187</v>
      </c>
      <c r="E4" s="134" t="s">
        <v>188</v>
      </c>
      <c r="F4" s="125" t="s">
        <v>191</v>
      </c>
      <c r="G4" s="152" t="s">
        <v>173</v>
      </c>
      <c r="H4" s="151" t="s">
        <v>174</v>
      </c>
      <c r="I4" s="3"/>
      <c r="J4" s="3"/>
      <c r="K4" s="3"/>
      <c r="L4" s="3"/>
      <c r="M4" s="4"/>
      <c r="N4" s="3"/>
      <c r="O4" s="4">
        <v>7500</v>
      </c>
      <c r="P4" s="77"/>
      <c r="Q4" s="3">
        <v>7500</v>
      </c>
      <c r="R4" s="3">
        <v>7500</v>
      </c>
      <c r="S4" s="3">
        <v>7500</v>
      </c>
      <c r="T4" s="3">
        <v>7500</v>
      </c>
      <c r="U4" s="3">
        <v>7500</v>
      </c>
      <c r="V4" s="12"/>
      <c r="W4" s="3">
        <v>7500</v>
      </c>
      <c r="X4" s="3">
        <v>1000</v>
      </c>
      <c r="Y4" s="12"/>
      <c r="Z4" s="3">
        <v>7500</v>
      </c>
      <c r="AA4" s="12"/>
      <c r="AB4" s="12">
        <v>7500</v>
      </c>
      <c r="AC4" s="12"/>
      <c r="AD4" s="12"/>
      <c r="AE4" s="14">
        <v>9000</v>
      </c>
      <c r="AF4" s="14"/>
      <c r="AG4" s="14"/>
      <c r="AH4" s="12">
        <v>8000</v>
      </c>
      <c r="AI4" s="12"/>
      <c r="AJ4" s="12">
        <v>8000</v>
      </c>
      <c r="AK4" s="12"/>
      <c r="AL4" s="12"/>
      <c r="AM4" s="12"/>
      <c r="AN4" s="12"/>
      <c r="AO4" s="12"/>
      <c r="AP4" s="12"/>
      <c r="AQ4" s="12"/>
      <c r="AR4" s="79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32"/>
      <c r="BE4" s="15"/>
    </row>
    <row r="5" spans="1:57" s="78" customFormat="1" ht="36" x14ac:dyDescent="0.3">
      <c r="A5" s="42" t="s">
        <v>25</v>
      </c>
      <c r="B5" s="30">
        <f>65000+220000</f>
        <v>285000</v>
      </c>
      <c r="C5" s="129" t="s">
        <v>189</v>
      </c>
      <c r="D5" s="120" t="s">
        <v>187</v>
      </c>
      <c r="E5" s="134" t="s">
        <v>188</v>
      </c>
      <c r="F5" s="125" t="s">
        <v>191</v>
      </c>
      <c r="G5" s="152" t="s">
        <v>173</v>
      </c>
      <c r="H5" s="151" t="s">
        <v>174</v>
      </c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12"/>
      <c r="W5" s="12"/>
      <c r="X5" s="12"/>
      <c r="Y5" s="12"/>
      <c r="Z5" s="12"/>
      <c r="AA5" s="12"/>
      <c r="AB5" s="12"/>
      <c r="AC5" s="12"/>
      <c r="AD5" s="12">
        <v>30000</v>
      </c>
      <c r="AE5" s="14"/>
      <c r="AF5" s="14">
        <v>20000</v>
      </c>
      <c r="AG5" s="14"/>
      <c r="AH5" s="12">
        <v>50000</v>
      </c>
      <c r="AI5" s="12">
        <v>20000</v>
      </c>
      <c r="AJ5" s="12"/>
      <c r="AK5" s="12">
        <v>20000</v>
      </c>
      <c r="AL5" s="12"/>
      <c r="AM5" s="12">
        <v>120000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32"/>
      <c r="BE5" s="15"/>
    </row>
    <row r="6" spans="1:57" s="78" customFormat="1" ht="36" x14ac:dyDescent="0.3">
      <c r="A6" s="42" t="s">
        <v>26</v>
      </c>
      <c r="B6" s="30">
        <f>16000+61300</f>
        <v>77300</v>
      </c>
      <c r="C6" s="129" t="s">
        <v>180</v>
      </c>
      <c r="D6" s="120" t="s">
        <v>187</v>
      </c>
      <c r="E6" s="134" t="s">
        <v>152</v>
      </c>
      <c r="F6" s="125" t="s">
        <v>153</v>
      </c>
      <c r="G6" s="152" t="s">
        <v>173</v>
      </c>
      <c r="H6" s="151" t="s">
        <v>174</v>
      </c>
      <c r="I6" s="3"/>
      <c r="J6" s="3"/>
      <c r="K6" s="3">
        <v>2000</v>
      </c>
      <c r="L6" s="3"/>
      <c r="M6" s="4">
        <v>3000</v>
      </c>
      <c r="N6" s="4"/>
      <c r="O6" s="4"/>
      <c r="P6" s="4"/>
      <c r="Q6" s="4"/>
      <c r="R6" s="4"/>
      <c r="S6" s="4"/>
      <c r="T6" s="4">
        <v>10000</v>
      </c>
      <c r="U6" s="4"/>
      <c r="V6" s="12"/>
      <c r="W6" s="12"/>
      <c r="X6" s="12"/>
      <c r="Y6" s="12">
        <v>15000</v>
      </c>
      <c r="Z6" s="12"/>
      <c r="AA6" s="12"/>
      <c r="AB6" s="12">
        <v>8000</v>
      </c>
      <c r="AC6" s="12"/>
      <c r="AD6" s="12">
        <v>15000</v>
      </c>
      <c r="AE6" s="14"/>
      <c r="AF6" s="14"/>
      <c r="AG6" s="14">
        <v>16300</v>
      </c>
      <c r="AH6" s="12"/>
      <c r="AI6" s="12"/>
      <c r="AJ6" s="12">
        <v>8000</v>
      </c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32"/>
      <c r="BE6" s="15"/>
    </row>
    <row r="7" spans="1:57" s="78" customFormat="1" ht="36.75" thickBot="1" x14ac:dyDescent="0.35">
      <c r="A7" s="42" t="s">
        <v>27</v>
      </c>
      <c r="B7" s="30">
        <v>108000</v>
      </c>
      <c r="C7" s="3" t="s">
        <v>176</v>
      </c>
      <c r="D7" s="120" t="s">
        <v>187</v>
      </c>
      <c r="E7" s="121" t="s">
        <v>190</v>
      </c>
      <c r="F7" s="158" t="s">
        <v>159</v>
      </c>
      <c r="G7" s="152" t="s">
        <v>173</v>
      </c>
      <c r="H7" s="151" t="s">
        <v>174</v>
      </c>
      <c r="I7" s="3"/>
      <c r="J7" s="3"/>
      <c r="K7" s="3"/>
      <c r="L7" s="3"/>
      <c r="M7" s="4"/>
      <c r="N7" s="4"/>
      <c r="O7" s="4">
        <v>10000</v>
      </c>
      <c r="P7" s="4"/>
      <c r="R7" s="4"/>
      <c r="S7" s="4"/>
      <c r="T7" s="4"/>
      <c r="U7" s="4"/>
      <c r="V7" s="4"/>
      <c r="W7" s="4"/>
      <c r="X7" s="4"/>
      <c r="Y7" s="4"/>
      <c r="Z7" s="4">
        <v>98000</v>
      </c>
      <c r="AA7" s="4"/>
      <c r="AB7" s="4"/>
      <c r="AC7" s="4"/>
      <c r="AD7" s="4"/>
      <c r="AE7" s="3"/>
      <c r="AF7" s="3"/>
      <c r="AG7" s="3"/>
      <c r="AH7" s="4"/>
      <c r="AI7" s="4"/>
      <c r="AJ7" s="4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32"/>
      <c r="BE7" s="15"/>
    </row>
    <row r="8" spans="1:57" s="78" customFormat="1" ht="54" x14ac:dyDescent="0.3">
      <c r="A8" s="42" t="s">
        <v>6</v>
      </c>
      <c r="B8" s="30">
        <f>35000+11000</f>
        <v>46000</v>
      </c>
      <c r="C8" s="138" t="s">
        <v>216</v>
      </c>
      <c r="D8" s="120" t="s">
        <v>187</v>
      </c>
      <c r="E8" s="134" t="s">
        <v>215</v>
      </c>
      <c r="F8" s="159" t="s">
        <v>217</v>
      </c>
      <c r="G8" s="152" t="s">
        <v>173</v>
      </c>
      <c r="H8" s="151" t="s">
        <v>174</v>
      </c>
      <c r="I8" s="35"/>
      <c r="J8" s="4"/>
      <c r="K8" s="3"/>
      <c r="L8" s="3"/>
      <c r="M8" s="4"/>
      <c r="N8" s="4">
        <v>10000</v>
      </c>
      <c r="O8" s="4"/>
      <c r="P8" s="4"/>
      <c r="Q8" s="4"/>
      <c r="R8" s="4"/>
      <c r="S8" s="4">
        <v>10000</v>
      </c>
      <c r="T8" s="4">
        <v>13000</v>
      </c>
      <c r="U8" s="4"/>
      <c r="V8" s="4"/>
      <c r="W8" s="4"/>
      <c r="X8" s="4"/>
      <c r="Y8" s="4">
        <v>12000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32"/>
      <c r="BE8" s="15"/>
    </row>
    <row r="9" spans="1:57" s="78" customFormat="1" ht="72" x14ac:dyDescent="0.3">
      <c r="A9" s="43" t="s">
        <v>7</v>
      </c>
      <c r="B9" s="30">
        <v>35000</v>
      </c>
      <c r="C9" s="138" t="s">
        <v>216</v>
      </c>
      <c r="D9" s="120" t="s">
        <v>187</v>
      </c>
      <c r="E9" s="134" t="s">
        <v>215</v>
      </c>
      <c r="F9" s="160" t="s">
        <v>217</v>
      </c>
      <c r="G9" s="152" t="s">
        <v>173</v>
      </c>
      <c r="H9" s="151" t="s">
        <v>174</v>
      </c>
      <c r="I9" s="80"/>
      <c r="J9" s="81"/>
      <c r="K9" s="81"/>
      <c r="L9" s="81"/>
      <c r="M9" s="4"/>
      <c r="N9" s="4"/>
      <c r="O9" s="4"/>
      <c r="P9" s="12"/>
      <c r="Q9" s="12"/>
      <c r="R9" s="12"/>
      <c r="S9" s="12"/>
      <c r="T9" s="4"/>
      <c r="U9" s="4"/>
      <c r="V9" s="12"/>
      <c r="W9" s="12"/>
      <c r="X9" s="12"/>
      <c r="Y9" s="12"/>
      <c r="Z9" s="12"/>
      <c r="AA9" s="12"/>
      <c r="AB9" s="12"/>
      <c r="AC9" s="12"/>
      <c r="AD9" s="12"/>
      <c r="AE9" s="14"/>
      <c r="AF9" s="14"/>
      <c r="AG9" s="14"/>
      <c r="AH9" s="12"/>
      <c r="AI9" s="12"/>
      <c r="AJ9" s="12"/>
      <c r="AL9" s="12">
        <v>10000</v>
      </c>
      <c r="AM9" s="12"/>
      <c r="AN9" s="12">
        <v>9000</v>
      </c>
      <c r="AO9" s="12">
        <v>9000</v>
      </c>
      <c r="AP9" s="12"/>
      <c r="AQ9" s="12">
        <v>5000</v>
      </c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32"/>
      <c r="BE9" s="15"/>
    </row>
    <row r="10" spans="1:57" s="84" customFormat="1" ht="62.25" customHeight="1" x14ac:dyDescent="0.3">
      <c r="A10" s="44" t="s">
        <v>4</v>
      </c>
      <c r="B10" s="30">
        <v>70000</v>
      </c>
      <c r="C10" s="138" t="s">
        <v>189</v>
      </c>
      <c r="D10" s="120" t="s">
        <v>187</v>
      </c>
      <c r="E10" s="129" t="s">
        <v>188</v>
      </c>
      <c r="F10" s="161" t="s">
        <v>191</v>
      </c>
      <c r="G10" s="152" t="s">
        <v>173</v>
      </c>
      <c r="H10" s="151" t="s">
        <v>174</v>
      </c>
      <c r="I10" s="83"/>
      <c r="J10" s="82"/>
      <c r="K10" s="83"/>
      <c r="L10" s="8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10000</v>
      </c>
      <c r="Z10" s="4"/>
      <c r="AA10" s="4"/>
      <c r="AB10" s="4"/>
      <c r="AC10" s="4"/>
      <c r="AD10" s="4"/>
      <c r="AE10" s="3"/>
      <c r="AF10" s="3"/>
      <c r="AG10" s="3"/>
      <c r="AH10" s="4"/>
      <c r="AI10" s="4">
        <v>11400</v>
      </c>
      <c r="AJ10" s="4">
        <v>20000</v>
      </c>
      <c r="AK10" s="4"/>
      <c r="AL10" s="4"/>
      <c r="AM10" s="4"/>
      <c r="AN10" s="4"/>
      <c r="AO10" s="4"/>
      <c r="AP10" s="4"/>
      <c r="AQ10" s="4"/>
      <c r="AR10" s="4">
        <v>25000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36"/>
      <c r="BE10" s="8"/>
    </row>
    <row r="11" spans="1:57" s="78" customFormat="1" ht="62.25" customHeight="1" x14ac:dyDescent="0.3">
      <c r="A11" s="45" t="s">
        <v>38</v>
      </c>
      <c r="B11" s="30">
        <v>70000</v>
      </c>
      <c r="C11" s="129" t="s">
        <v>196</v>
      </c>
      <c r="D11" s="120" t="s">
        <v>187</v>
      </c>
      <c r="E11" s="136" t="s">
        <v>197</v>
      </c>
      <c r="F11" s="41" t="s">
        <v>198</v>
      </c>
      <c r="G11" s="152" t="s">
        <v>173</v>
      </c>
      <c r="H11" s="151" t="s">
        <v>174</v>
      </c>
      <c r="I11" s="85"/>
      <c r="J11" s="85"/>
      <c r="K11" s="85"/>
      <c r="L11" s="85"/>
      <c r="M11" s="4"/>
      <c r="N11" s="4"/>
      <c r="O11" s="4"/>
      <c r="P11" s="12"/>
      <c r="Q11" s="12"/>
      <c r="R11" s="12"/>
      <c r="S11" s="12"/>
      <c r="T11" s="4"/>
      <c r="U11" s="4"/>
      <c r="V11" s="12"/>
      <c r="W11" s="12"/>
      <c r="X11" s="12"/>
      <c r="Y11" s="12"/>
      <c r="Z11" s="12"/>
      <c r="AA11" s="12"/>
      <c r="AB11" s="12">
        <v>11520</v>
      </c>
      <c r="AC11" s="12">
        <v>880</v>
      </c>
      <c r="AD11" s="12">
        <v>11520</v>
      </c>
      <c r="AE11" s="14">
        <v>11520</v>
      </c>
      <c r="AF11" s="14">
        <v>11520</v>
      </c>
      <c r="AG11" s="14">
        <v>11520</v>
      </c>
      <c r="AH11" s="12">
        <v>11520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32"/>
      <c r="BE11" s="15"/>
    </row>
    <row r="12" spans="1:57" s="78" customFormat="1" ht="90" x14ac:dyDescent="0.3">
      <c r="A12" s="44" t="s">
        <v>28</v>
      </c>
      <c r="B12" s="30">
        <f>I12+J12</f>
        <v>103000</v>
      </c>
      <c r="C12" s="129" t="s">
        <v>182</v>
      </c>
      <c r="D12" s="120" t="s">
        <v>187</v>
      </c>
      <c r="E12" s="134" t="s">
        <v>165</v>
      </c>
      <c r="F12" s="27" t="s">
        <v>204</v>
      </c>
      <c r="G12" s="152" t="s">
        <v>173</v>
      </c>
      <c r="H12" s="151" t="s">
        <v>174</v>
      </c>
      <c r="I12" s="3">
        <v>87000</v>
      </c>
      <c r="J12" s="3">
        <v>16000</v>
      </c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/>
      <c r="AF12" s="3"/>
      <c r="AG12" s="3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32"/>
      <c r="BE12" s="15"/>
    </row>
    <row r="13" spans="1:57" s="78" customFormat="1" ht="54" x14ac:dyDescent="0.3">
      <c r="A13" s="44" t="s">
        <v>29</v>
      </c>
      <c r="B13" s="49">
        <f>31000+195000</f>
        <v>226000</v>
      </c>
      <c r="C13" s="139" t="s">
        <v>200</v>
      </c>
      <c r="D13" s="120" t="s">
        <v>187</v>
      </c>
      <c r="E13" s="157" t="s">
        <v>201</v>
      </c>
      <c r="F13" s="162" t="s">
        <v>218</v>
      </c>
      <c r="G13" s="152" t="s">
        <v>173</v>
      </c>
      <c r="H13" s="151" t="s">
        <v>174</v>
      </c>
      <c r="I13" s="3">
        <v>134000</v>
      </c>
      <c r="J13" s="3">
        <v>60000</v>
      </c>
      <c r="K13" s="3"/>
      <c r="L13" s="3"/>
      <c r="M13" s="4"/>
      <c r="N13" s="4"/>
      <c r="O13" s="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4"/>
      <c r="AF13" s="14"/>
      <c r="AG13" s="14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32"/>
      <c r="BE13" s="15"/>
    </row>
    <row r="14" spans="1:57" s="78" customFormat="1" ht="54" x14ac:dyDescent="0.3">
      <c r="A14" s="44" t="s">
        <v>30</v>
      </c>
      <c r="B14" s="30">
        <f>16000+100000</f>
        <v>116000</v>
      </c>
      <c r="C14" s="138" t="s">
        <v>202</v>
      </c>
      <c r="D14" s="120" t="s">
        <v>187</v>
      </c>
      <c r="E14" s="129" t="s">
        <v>203</v>
      </c>
      <c r="F14" s="161" t="s">
        <v>208</v>
      </c>
      <c r="G14" s="152" t="s">
        <v>173</v>
      </c>
      <c r="H14" s="151" t="s">
        <v>174</v>
      </c>
      <c r="I14" s="3">
        <v>65000</v>
      </c>
      <c r="J14" s="3"/>
      <c r="K14" s="3"/>
      <c r="L14" s="3"/>
      <c r="N14" s="4">
        <v>16000</v>
      </c>
      <c r="O14" s="4"/>
      <c r="P14" s="4"/>
      <c r="Q14" s="4"/>
      <c r="R14" s="4"/>
      <c r="S14" s="4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4"/>
      <c r="AF14" s="14"/>
      <c r="AG14" s="14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32"/>
      <c r="BE14" s="15"/>
    </row>
    <row r="15" spans="1:57" s="78" customFormat="1" ht="90.75" thickBot="1" x14ac:dyDescent="0.35">
      <c r="A15" s="42" t="s">
        <v>19</v>
      </c>
      <c r="B15" s="30">
        <f>175000+90000</f>
        <v>265000</v>
      </c>
      <c r="C15" s="138" t="s">
        <v>182</v>
      </c>
      <c r="D15" s="120" t="s">
        <v>187</v>
      </c>
      <c r="E15" s="129" t="s">
        <v>163</v>
      </c>
      <c r="F15" s="50" t="s">
        <v>204</v>
      </c>
      <c r="G15" s="152" t="s">
        <v>173</v>
      </c>
      <c r="H15" s="151" t="s">
        <v>174</v>
      </c>
      <c r="I15" s="3">
        <v>175000</v>
      </c>
      <c r="J15" s="3"/>
      <c r="K15" s="3"/>
      <c r="L15" s="3"/>
      <c r="M15" s="4"/>
      <c r="N15" s="4">
        <v>90000</v>
      </c>
      <c r="O15" s="4"/>
      <c r="P15" s="4"/>
      <c r="Q15" s="4"/>
      <c r="R15" s="4"/>
      <c r="S15" s="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4"/>
      <c r="AF15" s="14"/>
      <c r="AG15" s="14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32"/>
      <c r="BE15" s="15"/>
    </row>
    <row r="16" spans="1:57" s="78" customFormat="1" ht="90.75" thickBot="1" x14ac:dyDescent="0.35">
      <c r="A16" s="42" t="s">
        <v>31</v>
      </c>
      <c r="B16" s="30">
        <f>16000+87500</f>
        <v>103500</v>
      </c>
      <c r="C16" s="138" t="s">
        <v>182</v>
      </c>
      <c r="D16" s="120" t="s">
        <v>187</v>
      </c>
      <c r="E16" s="129" t="s">
        <v>163</v>
      </c>
      <c r="F16" s="50" t="s">
        <v>204</v>
      </c>
      <c r="G16" s="152" t="s">
        <v>173</v>
      </c>
      <c r="H16" s="151" t="s">
        <v>174</v>
      </c>
      <c r="I16" s="3"/>
      <c r="J16" s="3">
        <v>87500</v>
      </c>
      <c r="K16" s="3"/>
      <c r="L16" s="3"/>
      <c r="N16" s="4">
        <v>16000</v>
      </c>
      <c r="O16" s="4"/>
      <c r="P16" s="4"/>
      <c r="Q16" s="4"/>
      <c r="R16" s="4"/>
      <c r="S16" s="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4"/>
      <c r="AF16" s="14"/>
      <c r="AG16" s="14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32"/>
      <c r="BE16" s="15"/>
    </row>
    <row r="17" spans="1:57" s="78" customFormat="1" ht="90.75" thickBot="1" x14ac:dyDescent="0.35">
      <c r="A17" s="42" t="s">
        <v>18</v>
      </c>
      <c r="B17" s="30">
        <f>524000+400000</f>
        <v>924000</v>
      </c>
      <c r="C17" s="138" t="s">
        <v>182</v>
      </c>
      <c r="D17" s="120" t="s">
        <v>187</v>
      </c>
      <c r="E17" s="129" t="s">
        <v>163</v>
      </c>
      <c r="F17" s="50" t="s">
        <v>204</v>
      </c>
      <c r="G17" s="152" t="s">
        <v>173</v>
      </c>
      <c r="H17" s="151" t="s">
        <v>174</v>
      </c>
      <c r="I17" s="3">
        <v>524000</v>
      </c>
      <c r="J17" s="3"/>
      <c r="K17" s="3"/>
      <c r="L17" s="3"/>
      <c r="M17" s="4"/>
      <c r="N17" s="4">
        <v>400000</v>
      </c>
      <c r="O17" s="4"/>
      <c r="P17" s="4"/>
      <c r="Q17" s="4"/>
      <c r="R17" s="4"/>
      <c r="S17" s="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4"/>
      <c r="AF17" s="14"/>
      <c r="AG17" s="14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32"/>
      <c r="BE17" s="15"/>
    </row>
    <row r="18" spans="1:57" s="78" customFormat="1" ht="90.75" thickBot="1" x14ac:dyDescent="0.35">
      <c r="A18" s="42" t="s">
        <v>32</v>
      </c>
      <c r="B18" s="30">
        <f>180000+32000-14240</f>
        <v>197760</v>
      </c>
      <c r="C18" s="138" t="s">
        <v>182</v>
      </c>
      <c r="D18" s="120" t="s">
        <v>187</v>
      </c>
      <c r="E18" s="129" t="s">
        <v>163</v>
      </c>
      <c r="F18" s="50" t="s">
        <v>204</v>
      </c>
      <c r="G18" s="152" t="s">
        <v>173</v>
      </c>
      <c r="H18" s="151" t="s">
        <v>174</v>
      </c>
      <c r="I18" s="3"/>
      <c r="J18" s="3">
        <v>180000</v>
      </c>
      <c r="K18" s="3"/>
      <c r="L18" s="3"/>
      <c r="M18" s="4"/>
      <c r="N18" s="4">
        <f>32000-14240</f>
        <v>17760</v>
      </c>
      <c r="O18" s="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4"/>
      <c r="AF18" s="14"/>
      <c r="AG18" s="14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32"/>
      <c r="BE18" s="15"/>
    </row>
    <row r="19" spans="1:57" s="78" customFormat="1" ht="90.75" thickBot="1" x14ac:dyDescent="0.35">
      <c r="A19" s="44" t="s">
        <v>33</v>
      </c>
      <c r="B19" s="30">
        <f>18000+32000-14240</f>
        <v>35760</v>
      </c>
      <c r="C19" s="138" t="s">
        <v>182</v>
      </c>
      <c r="D19" s="120" t="s">
        <v>187</v>
      </c>
      <c r="E19" s="129" t="s">
        <v>163</v>
      </c>
      <c r="F19" s="50" t="s">
        <v>204</v>
      </c>
      <c r="G19" s="152" t="s">
        <v>173</v>
      </c>
      <c r="H19" s="151" t="s">
        <v>174</v>
      </c>
      <c r="I19" s="3"/>
      <c r="J19" s="3">
        <v>18000</v>
      </c>
      <c r="K19" s="3"/>
      <c r="L19" s="3"/>
      <c r="M19" s="4"/>
      <c r="N19" s="4">
        <f>32000-14240</f>
        <v>17760</v>
      </c>
      <c r="O19" s="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4"/>
      <c r="AF19" s="14"/>
      <c r="AG19" s="14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32"/>
      <c r="BE19" s="15"/>
    </row>
    <row r="20" spans="1:57" s="78" customFormat="1" ht="72.75" thickBot="1" x14ac:dyDescent="0.35">
      <c r="A20" s="44" t="s">
        <v>34</v>
      </c>
      <c r="B20" s="30">
        <f>90000+16000-7120</f>
        <v>98880</v>
      </c>
      <c r="C20" s="138" t="s">
        <v>182</v>
      </c>
      <c r="D20" s="120" t="s">
        <v>187</v>
      </c>
      <c r="E20" s="129" t="s">
        <v>163</v>
      </c>
      <c r="F20" s="50" t="s">
        <v>204</v>
      </c>
      <c r="G20" s="152" t="s">
        <v>173</v>
      </c>
      <c r="H20" s="151" t="s">
        <v>174</v>
      </c>
      <c r="I20" s="3"/>
      <c r="J20" s="3">
        <v>90000</v>
      </c>
      <c r="K20" s="3"/>
      <c r="L20" s="3"/>
      <c r="M20" s="4"/>
      <c r="N20" s="4">
        <f>16000-7120</f>
        <v>8880</v>
      </c>
      <c r="O20" s="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4"/>
      <c r="AF20" s="14"/>
      <c r="AG20" s="14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32"/>
      <c r="BE20" s="15"/>
    </row>
    <row r="21" spans="1:57" s="78" customFormat="1" ht="72.75" thickBot="1" x14ac:dyDescent="0.35">
      <c r="A21" s="44" t="s">
        <v>35</v>
      </c>
      <c r="B21" s="30">
        <f>87000+16000</f>
        <v>103000</v>
      </c>
      <c r="C21" s="138" t="s">
        <v>182</v>
      </c>
      <c r="D21" s="120" t="s">
        <v>187</v>
      </c>
      <c r="E21" s="129" t="s">
        <v>163</v>
      </c>
      <c r="F21" s="50" t="s">
        <v>204</v>
      </c>
      <c r="G21" s="152" t="s">
        <v>173</v>
      </c>
      <c r="H21" s="151" t="s">
        <v>174</v>
      </c>
      <c r="I21" s="3"/>
      <c r="J21" s="3">
        <v>87000</v>
      </c>
      <c r="K21" s="3"/>
      <c r="L21" s="3"/>
      <c r="M21" s="4"/>
      <c r="N21" s="4">
        <v>16000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12"/>
      <c r="AE21" s="14"/>
      <c r="AF21" s="14"/>
      <c r="AG21" s="14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32"/>
      <c r="BE21" s="15"/>
    </row>
    <row r="22" spans="1:57" s="78" customFormat="1" ht="72.75" thickBot="1" x14ac:dyDescent="0.35">
      <c r="A22" s="45" t="s">
        <v>36</v>
      </c>
      <c r="B22" s="116">
        <f>87000+16000</f>
        <v>103000</v>
      </c>
      <c r="C22" s="138" t="s">
        <v>182</v>
      </c>
      <c r="D22" s="120" t="s">
        <v>187</v>
      </c>
      <c r="E22" s="129" t="s">
        <v>163</v>
      </c>
      <c r="F22" s="50" t="s">
        <v>204</v>
      </c>
      <c r="G22" s="152" t="s">
        <v>173</v>
      </c>
      <c r="H22" s="151" t="s">
        <v>174</v>
      </c>
      <c r="I22" s="19"/>
      <c r="J22" s="3">
        <v>87000</v>
      </c>
      <c r="K22" s="19"/>
      <c r="L22" s="19"/>
      <c r="M22" s="20"/>
      <c r="N22" s="20">
        <v>16000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12"/>
      <c r="AL22" s="12"/>
      <c r="AM22" s="12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33"/>
      <c r="BE22" s="22"/>
    </row>
    <row r="23" spans="1:57" s="78" customFormat="1" ht="72.75" thickBot="1" x14ac:dyDescent="0.35">
      <c r="A23" s="45" t="s">
        <v>37</v>
      </c>
      <c r="B23" s="116">
        <f>285000+48000</f>
        <v>333000</v>
      </c>
      <c r="C23" s="138" t="s">
        <v>182</v>
      </c>
      <c r="D23" s="120" t="s">
        <v>187</v>
      </c>
      <c r="E23" s="129" t="s">
        <v>163</v>
      </c>
      <c r="F23" s="50" t="s">
        <v>204</v>
      </c>
      <c r="G23" s="152" t="s">
        <v>173</v>
      </c>
      <c r="H23" s="151" t="s">
        <v>174</v>
      </c>
      <c r="I23" s="86"/>
      <c r="J23" s="3">
        <f>285000</f>
        <v>285000</v>
      </c>
      <c r="K23" s="86"/>
      <c r="L23" s="86"/>
      <c r="M23" s="77"/>
      <c r="N23" s="20">
        <v>48000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12"/>
      <c r="AL23" s="12"/>
      <c r="AM23" s="12"/>
      <c r="AN23" s="12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87"/>
      <c r="BE23" s="88"/>
    </row>
    <row r="24" spans="1:57" s="78" customFormat="1" ht="72.75" thickBot="1" x14ac:dyDescent="0.35">
      <c r="A24" s="46" t="s">
        <v>39</v>
      </c>
      <c r="B24" s="31">
        <f>200000+32000</f>
        <v>232000</v>
      </c>
      <c r="C24" s="140" t="s">
        <v>182</v>
      </c>
      <c r="D24" s="141" t="s">
        <v>187</v>
      </c>
      <c r="E24" s="130" t="s">
        <v>163</v>
      </c>
      <c r="F24" s="50" t="s">
        <v>204</v>
      </c>
      <c r="G24" s="131" t="s">
        <v>173</v>
      </c>
      <c r="H24" s="132" t="s">
        <v>174</v>
      </c>
      <c r="I24" s="115">
        <v>200000</v>
      </c>
      <c r="J24" s="11">
        <v>32000</v>
      </c>
      <c r="K24" s="89"/>
      <c r="L24" s="89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17"/>
      <c r="AN24" s="17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1"/>
      <c r="BE24" s="92"/>
    </row>
  </sheetData>
  <mergeCells count="2">
    <mergeCell ref="A1:B1"/>
    <mergeCell ref="I1:B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="85" zoomScaleNormal="85" workbookViewId="0">
      <selection activeCell="F16" sqref="F16"/>
    </sheetView>
  </sheetViews>
  <sheetFormatPr defaultRowHeight="15" x14ac:dyDescent="0.25"/>
  <cols>
    <col min="1" max="1" width="42.85546875" customWidth="1"/>
    <col min="2" max="2" width="23" customWidth="1"/>
    <col min="3" max="3" width="29.140625" customWidth="1"/>
    <col min="4" max="4" width="28.85546875" customWidth="1"/>
    <col min="5" max="5" width="29.28515625" customWidth="1"/>
    <col min="6" max="6" width="29.5703125" customWidth="1"/>
    <col min="7" max="7" width="26.42578125" customWidth="1"/>
    <col min="8" max="8" width="28.140625" customWidth="1"/>
    <col min="9" max="9" width="25.85546875" customWidth="1"/>
    <col min="10" max="11" width="17.28515625" customWidth="1"/>
    <col min="12" max="12" width="16.140625" customWidth="1"/>
    <col min="13" max="13" width="20" customWidth="1"/>
    <col min="14" max="14" width="17.28515625" customWidth="1"/>
  </cols>
  <sheetData>
    <row r="1" spans="1:14" ht="26.25" thickBot="1" x14ac:dyDescent="0.3">
      <c r="A1" s="165" t="s">
        <v>22</v>
      </c>
      <c r="B1" s="166"/>
      <c r="C1" s="166"/>
      <c r="D1" s="166"/>
      <c r="E1" s="166"/>
      <c r="F1" s="166"/>
      <c r="G1" s="166"/>
      <c r="H1" s="166"/>
      <c r="I1" s="105"/>
      <c r="J1" s="168" t="s">
        <v>21</v>
      </c>
      <c r="K1" s="168"/>
      <c r="L1" s="169"/>
      <c r="M1" s="169"/>
      <c r="N1" s="167"/>
    </row>
    <row r="2" spans="1:14" s="64" customFormat="1" ht="43.5" customHeight="1" thickBot="1" x14ac:dyDescent="0.4">
      <c r="A2" s="70" t="s">
        <v>0</v>
      </c>
      <c r="B2" s="71" t="s">
        <v>1</v>
      </c>
      <c r="C2" s="142" t="s">
        <v>169</v>
      </c>
      <c r="D2" s="126" t="s">
        <v>170</v>
      </c>
      <c r="E2" s="142" t="s">
        <v>168</v>
      </c>
      <c r="F2" s="126" t="s">
        <v>148</v>
      </c>
      <c r="G2" s="126" t="s">
        <v>171</v>
      </c>
      <c r="H2" s="126" t="s">
        <v>172</v>
      </c>
      <c r="I2" s="72">
        <v>46212</v>
      </c>
      <c r="J2" s="73">
        <v>46221</v>
      </c>
      <c r="K2" s="73">
        <v>46233</v>
      </c>
      <c r="L2" s="74">
        <v>46247</v>
      </c>
      <c r="M2" s="74">
        <v>46248</v>
      </c>
      <c r="N2" s="75">
        <v>46260</v>
      </c>
    </row>
    <row r="3" spans="1:14" ht="72" x14ac:dyDescent="0.25">
      <c r="A3" s="66" t="s">
        <v>42</v>
      </c>
      <c r="B3" s="67">
        <v>3500</v>
      </c>
      <c r="C3" s="146" t="s">
        <v>209</v>
      </c>
      <c r="D3" s="147" t="s">
        <v>187</v>
      </c>
      <c r="E3" s="145" t="s">
        <v>210</v>
      </c>
      <c r="F3" s="148" t="s">
        <v>150</v>
      </c>
      <c r="G3" s="145" t="s">
        <v>173</v>
      </c>
      <c r="H3" s="150" t="s">
        <v>174</v>
      </c>
      <c r="I3" s="56"/>
      <c r="J3" s="57"/>
      <c r="K3" s="57"/>
      <c r="L3" s="58"/>
      <c r="M3" s="58"/>
      <c r="N3" s="68">
        <v>3500</v>
      </c>
    </row>
    <row r="4" spans="1:14" ht="36" x14ac:dyDescent="0.25">
      <c r="A4" s="5" t="s">
        <v>25</v>
      </c>
      <c r="B4" s="47">
        <f>3500*4</f>
        <v>14000</v>
      </c>
      <c r="C4" s="129" t="s">
        <v>176</v>
      </c>
      <c r="D4" s="121" t="s">
        <v>187</v>
      </c>
      <c r="E4" s="134" t="s">
        <v>190</v>
      </c>
      <c r="F4" s="42" t="s">
        <v>159</v>
      </c>
      <c r="G4" s="152" t="s">
        <v>173</v>
      </c>
      <c r="H4" s="151" t="s">
        <v>174</v>
      </c>
      <c r="I4" s="3"/>
      <c r="J4" s="4"/>
      <c r="K4" s="4"/>
      <c r="L4" s="12"/>
      <c r="M4" s="12">
        <v>20000</v>
      </c>
      <c r="N4" s="15"/>
    </row>
    <row r="5" spans="1:14" ht="36" x14ac:dyDescent="0.25">
      <c r="A5" s="5" t="s">
        <v>26</v>
      </c>
      <c r="B5" s="47">
        <v>3500</v>
      </c>
      <c r="C5" s="129" t="s">
        <v>177</v>
      </c>
      <c r="D5" s="121" t="s">
        <v>187</v>
      </c>
      <c r="E5" s="134" t="s">
        <v>211</v>
      </c>
      <c r="F5" s="42" t="s">
        <v>212</v>
      </c>
      <c r="G5" s="152" t="s">
        <v>173</v>
      </c>
      <c r="H5" s="151" t="s">
        <v>174</v>
      </c>
      <c r="I5" s="3"/>
      <c r="J5" s="4"/>
      <c r="K5" s="4"/>
      <c r="L5" s="12"/>
      <c r="M5" s="12"/>
      <c r="N5" s="76"/>
    </row>
    <row r="6" spans="1:14" ht="54" x14ac:dyDescent="0.25">
      <c r="A6" s="40" t="s">
        <v>5</v>
      </c>
      <c r="B6" s="47">
        <v>2500</v>
      </c>
      <c r="C6" s="129" t="s">
        <v>177</v>
      </c>
      <c r="D6" s="121" t="s">
        <v>187</v>
      </c>
      <c r="E6" s="134" t="s">
        <v>211</v>
      </c>
      <c r="F6" s="42" t="s">
        <v>212</v>
      </c>
      <c r="G6" s="152" t="s">
        <v>173</v>
      </c>
      <c r="H6" s="151" t="s">
        <v>174</v>
      </c>
      <c r="I6" s="3"/>
      <c r="J6" s="4"/>
      <c r="K6" s="4"/>
      <c r="L6" s="23"/>
      <c r="M6" s="4">
        <v>2500</v>
      </c>
      <c r="N6" s="76"/>
    </row>
    <row r="7" spans="1:14" ht="32.25" customHeight="1" x14ac:dyDescent="0.25">
      <c r="A7" s="5" t="s">
        <v>44</v>
      </c>
      <c r="B7" s="47">
        <v>32000</v>
      </c>
      <c r="C7" s="121" t="s">
        <v>176</v>
      </c>
      <c r="D7" s="121" t="s">
        <v>187</v>
      </c>
      <c r="E7" s="121" t="s">
        <v>190</v>
      </c>
      <c r="F7" s="121" t="s">
        <v>159</v>
      </c>
      <c r="G7" s="152" t="s">
        <v>173</v>
      </c>
      <c r="H7" s="151" t="s">
        <v>174</v>
      </c>
      <c r="I7" s="3"/>
      <c r="J7" s="4"/>
      <c r="K7" s="4"/>
      <c r="L7" s="4">
        <v>10000</v>
      </c>
      <c r="M7" s="4"/>
      <c r="N7" s="8">
        <v>22000</v>
      </c>
    </row>
    <row r="8" spans="1:14" ht="39.75" customHeight="1" x14ac:dyDescent="0.25">
      <c r="A8" s="5" t="s">
        <v>49</v>
      </c>
      <c r="B8" s="47">
        <v>6500</v>
      </c>
      <c r="C8" s="129" t="s">
        <v>177</v>
      </c>
      <c r="D8" s="121" t="s">
        <v>187</v>
      </c>
      <c r="E8" s="134" t="s">
        <v>211</v>
      </c>
      <c r="F8" s="42" t="s">
        <v>212</v>
      </c>
      <c r="G8" s="152" t="s">
        <v>173</v>
      </c>
      <c r="H8" s="151" t="s">
        <v>174</v>
      </c>
      <c r="I8" s="3"/>
      <c r="J8" s="4">
        <v>6600</v>
      </c>
      <c r="K8" s="4"/>
      <c r="L8" s="4"/>
      <c r="M8" s="4"/>
      <c r="N8" s="8"/>
    </row>
    <row r="9" spans="1:14" ht="72" x14ac:dyDescent="0.25">
      <c r="A9" s="6" t="s">
        <v>45</v>
      </c>
      <c r="B9" s="47">
        <v>2400</v>
      </c>
      <c r="C9" s="121" t="s">
        <v>178</v>
      </c>
      <c r="D9" s="121" t="s">
        <v>187</v>
      </c>
      <c r="E9" s="134" t="s">
        <v>192</v>
      </c>
      <c r="F9" s="149" t="s">
        <v>193</v>
      </c>
      <c r="G9" s="152" t="s">
        <v>173</v>
      </c>
      <c r="H9" s="151" t="s">
        <v>174</v>
      </c>
      <c r="I9" s="3"/>
      <c r="J9" s="4">
        <f>2380+20</f>
        <v>2400</v>
      </c>
      <c r="K9" s="4"/>
      <c r="L9" s="4"/>
      <c r="M9" s="4"/>
      <c r="N9" s="15"/>
    </row>
    <row r="10" spans="1:14" ht="72" x14ac:dyDescent="0.25">
      <c r="A10" s="40" t="s">
        <v>43</v>
      </c>
      <c r="B10" s="47">
        <v>6700</v>
      </c>
      <c r="C10" s="121" t="s">
        <v>178</v>
      </c>
      <c r="D10" s="121" t="s">
        <v>187</v>
      </c>
      <c r="E10" s="134" t="s">
        <v>192</v>
      </c>
      <c r="F10" s="149" t="s">
        <v>193</v>
      </c>
      <c r="G10" s="152" t="s">
        <v>173</v>
      </c>
      <c r="H10" s="151" t="s">
        <v>174</v>
      </c>
      <c r="I10" s="3"/>
      <c r="J10" s="4">
        <v>6700</v>
      </c>
      <c r="K10" s="4"/>
      <c r="L10" s="12"/>
      <c r="M10" s="12"/>
      <c r="N10" s="15"/>
    </row>
    <row r="11" spans="1:14" ht="36" x14ac:dyDescent="0.25">
      <c r="A11" s="5" t="s">
        <v>41</v>
      </c>
      <c r="B11" s="47">
        <v>204000</v>
      </c>
      <c r="C11" s="129" t="s">
        <v>185</v>
      </c>
      <c r="D11" s="121" t="s">
        <v>187</v>
      </c>
      <c r="E11" s="134" t="s">
        <v>213</v>
      </c>
      <c r="F11" s="42" t="s">
        <v>214</v>
      </c>
      <c r="G11" s="152" t="s">
        <v>173</v>
      </c>
      <c r="H11" s="151" t="s">
        <v>174</v>
      </c>
      <c r="I11" s="3">
        <v>134000</v>
      </c>
      <c r="J11" s="4"/>
      <c r="K11" s="23"/>
      <c r="L11" s="12"/>
      <c r="M11" s="12"/>
      <c r="N11" s="15"/>
    </row>
    <row r="12" spans="1:14" ht="36" x14ac:dyDescent="0.25">
      <c r="A12" s="5" t="s">
        <v>46</v>
      </c>
      <c r="B12" s="47">
        <v>100000</v>
      </c>
      <c r="C12" s="129" t="s">
        <v>185</v>
      </c>
      <c r="D12" s="121" t="s">
        <v>187</v>
      </c>
      <c r="E12" s="134" t="s">
        <v>213</v>
      </c>
      <c r="F12" s="42" t="s">
        <v>214</v>
      </c>
      <c r="G12" s="152" t="s">
        <v>173</v>
      </c>
      <c r="H12" s="151" t="s">
        <v>174</v>
      </c>
      <c r="I12" s="3">
        <v>65000</v>
      </c>
      <c r="J12" s="4"/>
      <c r="K12" s="23"/>
      <c r="L12" s="12"/>
      <c r="M12" s="12"/>
      <c r="N12" s="15"/>
    </row>
    <row r="13" spans="1:14" ht="54" x14ac:dyDescent="0.25">
      <c r="A13" s="6" t="s">
        <v>32</v>
      </c>
      <c r="B13" s="47">
        <v>14240</v>
      </c>
      <c r="C13" s="129" t="s">
        <v>185</v>
      </c>
      <c r="D13" s="121" t="s">
        <v>187</v>
      </c>
      <c r="E13" s="134" t="s">
        <v>213</v>
      </c>
      <c r="F13" s="42" t="s">
        <v>214</v>
      </c>
      <c r="G13" s="152" t="s">
        <v>173</v>
      </c>
      <c r="H13" s="151" t="s">
        <v>174</v>
      </c>
      <c r="I13" s="3"/>
      <c r="J13" s="4"/>
      <c r="K13" s="4">
        <v>14240</v>
      </c>
      <c r="L13" s="12"/>
      <c r="M13" s="12"/>
      <c r="N13" s="15"/>
    </row>
    <row r="14" spans="1:14" ht="54" x14ac:dyDescent="0.25">
      <c r="A14" s="6" t="s">
        <v>33</v>
      </c>
      <c r="B14" s="47">
        <v>14240</v>
      </c>
      <c r="C14" s="129" t="s">
        <v>185</v>
      </c>
      <c r="D14" s="121" t="s">
        <v>187</v>
      </c>
      <c r="E14" s="134" t="s">
        <v>213</v>
      </c>
      <c r="F14" s="42" t="s">
        <v>214</v>
      </c>
      <c r="G14" s="152" t="s">
        <v>173</v>
      </c>
      <c r="H14" s="151" t="s">
        <v>174</v>
      </c>
      <c r="I14" s="3"/>
      <c r="J14" s="4"/>
      <c r="K14" s="4">
        <v>14240</v>
      </c>
      <c r="L14" s="4"/>
      <c r="M14" s="4"/>
      <c r="N14" s="15"/>
    </row>
    <row r="15" spans="1:14" ht="36" x14ac:dyDescent="0.25">
      <c r="A15" s="6" t="s">
        <v>34</v>
      </c>
      <c r="B15" s="47">
        <v>7120</v>
      </c>
      <c r="C15" s="129" t="s">
        <v>185</v>
      </c>
      <c r="D15" s="121" t="s">
        <v>187</v>
      </c>
      <c r="E15" s="134" t="s">
        <v>213</v>
      </c>
      <c r="F15" s="42" t="s">
        <v>214</v>
      </c>
      <c r="G15" s="152" t="s">
        <v>173</v>
      </c>
      <c r="H15" s="151" t="s">
        <v>174</v>
      </c>
      <c r="I15" s="3"/>
      <c r="J15" s="4"/>
      <c r="K15" s="4">
        <v>7120</v>
      </c>
      <c r="L15" s="12"/>
      <c r="M15" s="12"/>
      <c r="N15" s="15"/>
    </row>
    <row r="16" spans="1:14" ht="36.75" thickBot="1" x14ac:dyDescent="0.3">
      <c r="A16" s="7" t="s">
        <v>37</v>
      </c>
      <c r="B16" s="48">
        <v>48000</v>
      </c>
      <c r="C16" s="130" t="s">
        <v>185</v>
      </c>
      <c r="D16" s="122" t="s">
        <v>187</v>
      </c>
      <c r="E16" s="137" t="s">
        <v>213</v>
      </c>
      <c r="F16" s="114" t="s">
        <v>214</v>
      </c>
      <c r="G16" s="131" t="s">
        <v>173</v>
      </c>
      <c r="H16" s="132" t="s">
        <v>174</v>
      </c>
      <c r="I16" s="10"/>
      <c r="J16" s="26"/>
      <c r="K16" s="11">
        <v>48000</v>
      </c>
      <c r="L16" s="26"/>
      <c r="M16" s="26"/>
      <c r="N16" s="25"/>
    </row>
  </sheetData>
  <mergeCells count="2">
    <mergeCell ref="A1:H1"/>
    <mergeCell ref="J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>
      <pane ySplit="2" topLeftCell="A69" activePane="bottomLeft" state="frozen"/>
      <selection activeCell="A2" sqref="A2"/>
      <selection pane="bottomLeft" activeCell="C64" sqref="C64"/>
    </sheetView>
  </sheetViews>
  <sheetFormatPr defaultRowHeight="15" x14ac:dyDescent="0.25"/>
  <cols>
    <col min="1" max="1" width="53" customWidth="1"/>
    <col min="2" max="2" width="22.42578125" style="102" customWidth="1"/>
    <col min="3" max="3" width="36" style="102" customWidth="1"/>
    <col min="4" max="4" width="22.42578125" style="102" customWidth="1"/>
    <col min="5" max="5" width="29.85546875" style="102" customWidth="1"/>
    <col min="6" max="6" width="32.7109375" style="102" customWidth="1"/>
    <col min="7" max="8" width="22.42578125" style="102" customWidth="1"/>
    <col min="9" max="9" width="22.85546875" customWidth="1"/>
    <col min="10" max="10" width="16.5703125" customWidth="1"/>
    <col min="11" max="11" width="19.28515625" customWidth="1"/>
    <col min="12" max="12" width="17.5703125" customWidth="1"/>
    <col min="13" max="13" width="18.7109375" customWidth="1"/>
    <col min="14" max="14" width="17.140625" customWidth="1"/>
    <col min="15" max="15" width="18.28515625" customWidth="1"/>
    <col min="16" max="16" width="18.85546875" customWidth="1"/>
    <col min="17" max="17" width="17.5703125" customWidth="1"/>
    <col min="18" max="18" width="19" customWidth="1"/>
    <col min="19" max="19" width="16.140625" customWidth="1"/>
  </cols>
  <sheetData>
    <row r="1" spans="1:19" s="65" customFormat="1" ht="27" thickBot="1" x14ac:dyDescent="0.45">
      <c r="A1" s="170" t="s">
        <v>97</v>
      </c>
      <c r="B1" s="171"/>
      <c r="C1" s="171"/>
      <c r="D1" s="171"/>
      <c r="E1" s="171"/>
      <c r="F1" s="171"/>
      <c r="G1" s="171"/>
      <c r="H1" s="171"/>
      <c r="I1" s="172" t="s">
        <v>21</v>
      </c>
      <c r="J1" s="173"/>
      <c r="K1" s="173"/>
      <c r="L1" s="173"/>
      <c r="M1" s="173"/>
      <c r="N1" s="173"/>
      <c r="O1" s="173"/>
      <c r="P1" s="173"/>
      <c r="Q1" s="173"/>
      <c r="R1" s="173"/>
      <c r="S1" s="174"/>
    </row>
    <row r="2" spans="1:19" s="64" customFormat="1" ht="43.5" customHeight="1" thickBot="1" x14ac:dyDescent="0.4">
      <c r="A2" s="60" t="s">
        <v>0</v>
      </c>
      <c r="B2" s="153" t="s">
        <v>1</v>
      </c>
      <c r="C2" s="142" t="s">
        <v>169</v>
      </c>
      <c r="D2" s="126" t="s">
        <v>170</v>
      </c>
      <c r="E2" s="142" t="s">
        <v>168</v>
      </c>
      <c r="F2" s="126" t="s">
        <v>148</v>
      </c>
      <c r="G2" s="126" t="s">
        <v>171</v>
      </c>
      <c r="H2" s="126" t="s">
        <v>172</v>
      </c>
      <c r="I2" s="61">
        <v>46199</v>
      </c>
      <c r="J2" s="62">
        <v>46212</v>
      </c>
      <c r="K2" s="62">
        <v>46215</v>
      </c>
      <c r="L2" s="62">
        <v>46221</v>
      </c>
      <c r="M2" s="62">
        <v>46225</v>
      </c>
      <c r="N2" s="62">
        <v>46230</v>
      </c>
      <c r="O2" s="62">
        <v>46235</v>
      </c>
      <c r="P2" s="62">
        <v>46240</v>
      </c>
      <c r="Q2" s="62">
        <v>46243</v>
      </c>
      <c r="R2" s="62">
        <v>46248</v>
      </c>
      <c r="S2" s="63">
        <v>46252</v>
      </c>
    </row>
    <row r="3" spans="1:19" ht="54.75" thickBot="1" x14ac:dyDescent="0.3">
      <c r="A3" s="54" t="s">
        <v>48</v>
      </c>
      <c r="B3" s="154">
        <f>3450+900</f>
        <v>4350</v>
      </c>
      <c r="C3" s="138" t="s">
        <v>216</v>
      </c>
      <c r="D3" s="120" t="s">
        <v>187</v>
      </c>
      <c r="E3" s="134" t="s">
        <v>215</v>
      </c>
      <c r="F3" s="159" t="s">
        <v>217</v>
      </c>
      <c r="G3" s="145" t="s">
        <v>173</v>
      </c>
      <c r="H3" s="150" t="s">
        <v>174</v>
      </c>
      <c r="I3" s="56"/>
      <c r="J3" s="57"/>
      <c r="K3" s="57"/>
      <c r="L3" s="58"/>
      <c r="M3" s="58"/>
      <c r="N3" s="59"/>
      <c r="O3" s="58"/>
      <c r="P3" s="58"/>
      <c r="Q3" s="58">
        <v>900</v>
      </c>
      <c r="R3" s="58"/>
      <c r="S3" s="58"/>
    </row>
    <row r="4" spans="1:19" ht="54" x14ac:dyDescent="0.25">
      <c r="A4" s="27" t="s">
        <v>77</v>
      </c>
      <c r="B4" s="52">
        <f>2550+900</f>
        <v>3450</v>
      </c>
      <c r="C4" s="138" t="s">
        <v>216</v>
      </c>
      <c r="D4" s="120" t="s">
        <v>187</v>
      </c>
      <c r="E4" s="134" t="s">
        <v>215</v>
      </c>
      <c r="F4" s="159" t="s">
        <v>217</v>
      </c>
      <c r="G4" s="145" t="s">
        <v>173</v>
      </c>
      <c r="H4" s="150" t="s">
        <v>174</v>
      </c>
      <c r="I4" s="3"/>
      <c r="J4" s="4"/>
      <c r="K4" s="4"/>
      <c r="L4" s="12"/>
      <c r="M4" s="12">
        <v>2550</v>
      </c>
      <c r="N4" s="13"/>
      <c r="O4" s="12"/>
      <c r="P4" s="12"/>
      <c r="Q4" s="12">
        <v>900</v>
      </c>
      <c r="R4" s="12"/>
      <c r="S4" s="12"/>
    </row>
    <row r="5" spans="1:19" ht="36" x14ac:dyDescent="0.25">
      <c r="A5" s="27" t="s">
        <v>73</v>
      </c>
      <c r="B5" s="52">
        <f>3000+900</f>
        <v>3900</v>
      </c>
      <c r="C5" s="129" t="s">
        <v>180</v>
      </c>
      <c r="D5" s="120" t="s">
        <v>187</v>
      </c>
      <c r="E5" s="134" t="s">
        <v>152</v>
      </c>
      <c r="F5" s="125" t="s">
        <v>153</v>
      </c>
      <c r="G5" s="152" t="s">
        <v>173</v>
      </c>
      <c r="H5" s="151" t="s">
        <v>174</v>
      </c>
      <c r="I5" s="14"/>
      <c r="J5" s="12"/>
      <c r="K5" s="4"/>
      <c r="L5" s="12"/>
      <c r="M5" s="12"/>
      <c r="N5" s="13"/>
      <c r="O5" s="12"/>
      <c r="P5" s="12"/>
      <c r="Q5" s="12"/>
      <c r="R5" s="12">
        <v>3000</v>
      </c>
      <c r="S5" s="12">
        <v>900</v>
      </c>
    </row>
    <row r="6" spans="1:19" ht="36" x14ac:dyDescent="0.25">
      <c r="A6" s="27" t="s">
        <v>103</v>
      </c>
      <c r="B6" s="52">
        <v>1100</v>
      </c>
      <c r="C6" s="129" t="s">
        <v>180</v>
      </c>
      <c r="D6" s="120" t="s">
        <v>187</v>
      </c>
      <c r="E6" s="134" t="s">
        <v>152</v>
      </c>
      <c r="F6" s="125" t="s">
        <v>153</v>
      </c>
      <c r="G6" s="152" t="s">
        <v>173</v>
      </c>
      <c r="H6" s="151" t="s">
        <v>174</v>
      </c>
      <c r="I6" s="14"/>
      <c r="J6" s="12"/>
      <c r="K6" s="4"/>
      <c r="L6" s="12">
        <v>1100</v>
      </c>
      <c r="M6" s="12"/>
      <c r="N6" s="13"/>
      <c r="O6" s="12"/>
      <c r="P6" s="12"/>
      <c r="Q6" s="12"/>
      <c r="R6" s="12"/>
      <c r="S6" s="12"/>
    </row>
    <row r="7" spans="1:19" ht="36" x14ac:dyDescent="0.25">
      <c r="A7" s="27" t="s">
        <v>104</v>
      </c>
      <c r="B7" s="52">
        <v>2500</v>
      </c>
      <c r="C7" s="129" t="s">
        <v>180</v>
      </c>
      <c r="D7" s="120" t="s">
        <v>187</v>
      </c>
      <c r="E7" s="134" t="s">
        <v>152</v>
      </c>
      <c r="F7" s="125" t="s">
        <v>153</v>
      </c>
      <c r="G7" s="152" t="s">
        <v>173</v>
      </c>
      <c r="H7" s="151" t="s">
        <v>174</v>
      </c>
      <c r="I7" s="14"/>
      <c r="J7" s="12"/>
      <c r="K7" s="4"/>
      <c r="L7" s="12"/>
      <c r="M7" s="12"/>
      <c r="N7" s="13"/>
      <c r="O7" s="12">
        <v>2500</v>
      </c>
      <c r="P7" s="12"/>
      <c r="Q7" s="12"/>
      <c r="R7" s="12"/>
      <c r="S7" s="12"/>
    </row>
    <row r="8" spans="1:19" ht="90" x14ac:dyDescent="0.25">
      <c r="A8" s="27" t="s">
        <v>110</v>
      </c>
      <c r="B8" s="52">
        <v>2000</v>
      </c>
      <c r="C8" s="138" t="s">
        <v>182</v>
      </c>
      <c r="D8" s="120" t="s">
        <v>187</v>
      </c>
      <c r="E8" s="129" t="s">
        <v>163</v>
      </c>
      <c r="F8" s="27" t="s">
        <v>204</v>
      </c>
      <c r="G8" s="152" t="s">
        <v>173</v>
      </c>
      <c r="H8" s="151" t="s">
        <v>174</v>
      </c>
      <c r="I8" s="14"/>
      <c r="J8" s="12">
        <v>2000</v>
      </c>
      <c r="K8" s="4"/>
      <c r="L8" s="12"/>
      <c r="M8" s="12"/>
      <c r="N8" s="13"/>
      <c r="O8" s="12"/>
      <c r="P8" s="12"/>
      <c r="Q8" s="12"/>
      <c r="R8" s="12"/>
      <c r="S8" s="12"/>
    </row>
    <row r="9" spans="1:19" ht="90" x14ac:dyDescent="0.25">
      <c r="A9" s="27" t="s">
        <v>111</v>
      </c>
      <c r="B9" s="52">
        <v>2000</v>
      </c>
      <c r="C9" s="138" t="s">
        <v>182</v>
      </c>
      <c r="D9" s="120" t="s">
        <v>187</v>
      </c>
      <c r="E9" s="129" t="s">
        <v>163</v>
      </c>
      <c r="F9" s="27" t="s">
        <v>204</v>
      </c>
      <c r="G9" s="152" t="s">
        <v>173</v>
      </c>
      <c r="H9" s="151" t="s">
        <v>174</v>
      </c>
      <c r="I9" s="14"/>
      <c r="J9" s="12">
        <v>2000</v>
      </c>
      <c r="K9" s="4"/>
      <c r="L9" s="12"/>
      <c r="M9" s="12"/>
      <c r="N9" s="13"/>
      <c r="O9" s="12"/>
      <c r="P9" s="12"/>
      <c r="Q9" s="12"/>
      <c r="R9" s="12"/>
      <c r="S9" s="12"/>
    </row>
    <row r="10" spans="1:19" ht="90" x14ac:dyDescent="0.25">
      <c r="A10" s="27" t="s">
        <v>112</v>
      </c>
      <c r="B10" s="52">
        <v>4000</v>
      </c>
      <c r="C10" s="138" t="s">
        <v>182</v>
      </c>
      <c r="D10" s="120" t="s">
        <v>187</v>
      </c>
      <c r="E10" s="129" t="s">
        <v>163</v>
      </c>
      <c r="F10" s="27" t="s">
        <v>204</v>
      </c>
      <c r="G10" s="152" t="s">
        <v>173</v>
      </c>
      <c r="H10" s="151" t="s">
        <v>174</v>
      </c>
      <c r="I10" s="14">
        <v>4000</v>
      </c>
      <c r="J10" s="12"/>
      <c r="K10" s="4"/>
      <c r="L10" s="12"/>
      <c r="M10" s="12"/>
      <c r="N10" s="13"/>
      <c r="O10" s="12"/>
      <c r="P10" s="12"/>
      <c r="Q10" s="12"/>
      <c r="R10" s="12"/>
      <c r="S10" s="12"/>
    </row>
    <row r="11" spans="1:19" ht="90" x14ac:dyDescent="0.25">
      <c r="A11" s="27" t="s">
        <v>113</v>
      </c>
      <c r="B11" s="52">
        <v>1200</v>
      </c>
      <c r="C11" s="138" t="s">
        <v>182</v>
      </c>
      <c r="D11" s="120" t="s">
        <v>187</v>
      </c>
      <c r="E11" s="129" t="s">
        <v>163</v>
      </c>
      <c r="F11" s="27" t="s">
        <v>204</v>
      </c>
      <c r="G11" s="152" t="s">
        <v>173</v>
      </c>
      <c r="H11" s="151" t="s">
        <v>174</v>
      </c>
      <c r="I11" s="3">
        <v>1200</v>
      </c>
      <c r="J11" s="4"/>
      <c r="K11" s="4"/>
      <c r="L11" s="12"/>
      <c r="M11" s="12"/>
      <c r="N11" s="13"/>
      <c r="O11" s="12"/>
      <c r="P11" s="12"/>
      <c r="Q11" s="12"/>
      <c r="R11" s="12"/>
      <c r="S11" s="12"/>
    </row>
    <row r="12" spans="1:19" ht="90" x14ac:dyDescent="0.25">
      <c r="A12" s="27" t="s">
        <v>114</v>
      </c>
      <c r="B12" s="52">
        <v>16000</v>
      </c>
      <c r="C12" s="138" t="s">
        <v>182</v>
      </c>
      <c r="D12" s="120" t="s">
        <v>187</v>
      </c>
      <c r="E12" s="129" t="s">
        <v>163</v>
      </c>
      <c r="F12" s="27" t="s">
        <v>204</v>
      </c>
      <c r="G12" s="152" t="s">
        <v>173</v>
      </c>
      <c r="H12" s="151" t="s">
        <v>174</v>
      </c>
      <c r="I12" s="3"/>
      <c r="J12" s="4">
        <v>16000</v>
      </c>
      <c r="K12" s="4"/>
      <c r="L12" s="12"/>
      <c r="M12" s="12"/>
      <c r="N12" s="13"/>
      <c r="O12" s="12"/>
      <c r="P12" s="12"/>
      <c r="Q12" s="12"/>
      <c r="R12" s="12"/>
      <c r="S12" s="12"/>
    </row>
    <row r="13" spans="1:19" ht="90" x14ac:dyDescent="0.25">
      <c r="A13" s="27" t="s">
        <v>115</v>
      </c>
      <c r="B13" s="52">
        <v>2000</v>
      </c>
      <c r="C13" s="138" t="s">
        <v>182</v>
      </c>
      <c r="D13" s="120" t="s">
        <v>187</v>
      </c>
      <c r="E13" s="129" t="s">
        <v>163</v>
      </c>
      <c r="F13" s="27" t="s">
        <v>204</v>
      </c>
      <c r="G13" s="152" t="s">
        <v>173</v>
      </c>
      <c r="H13" s="151" t="s">
        <v>174</v>
      </c>
      <c r="I13" s="3"/>
      <c r="J13" s="4">
        <v>2000</v>
      </c>
      <c r="K13" s="4"/>
      <c r="L13" s="12"/>
      <c r="M13" s="12"/>
      <c r="N13" s="13"/>
      <c r="O13" s="12"/>
      <c r="P13" s="12"/>
      <c r="Q13" s="12"/>
      <c r="R13" s="12"/>
      <c r="S13" s="12"/>
    </row>
    <row r="14" spans="1:19" ht="90" x14ac:dyDescent="0.25">
      <c r="A14" s="27" t="s">
        <v>116</v>
      </c>
      <c r="B14" s="52">
        <v>2000</v>
      </c>
      <c r="C14" s="138" t="s">
        <v>182</v>
      </c>
      <c r="D14" s="120" t="s">
        <v>187</v>
      </c>
      <c r="E14" s="129" t="s">
        <v>163</v>
      </c>
      <c r="F14" s="27" t="s">
        <v>204</v>
      </c>
      <c r="G14" s="152" t="s">
        <v>173</v>
      </c>
      <c r="H14" s="151" t="s">
        <v>174</v>
      </c>
      <c r="I14" s="3"/>
      <c r="J14" s="4">
        <v>2000</v>
      </c>
      <c r="K14" s="4"/>
      <c r="L14" s="12"/>
      <c r="M14" s="12"/>
      <c r="N14" s="13"/>
      <c r="O14" s="12"/>
      <c r="P14" s="12"/>
      <c r="Q14" s="12"/>
      <c r="R14" s="12"/>
      <c r="S14" s="12"/>
    </row>
    <row r="15" spans="1:19" ht="90" x14ac:dyDescent="0.25">
      <c r="A15" s="27" t="s">
        <v>117</v>
      </c>
      <c r="B15" s="52">
        <v>2000</v>
      </c>
      <c r="C15" s="138" t="s">
        <v>182</v>
      </c>
      <c r="D15" s="120" t="s">
        <v>187</v>
      </c>
      <c r="E15" s="129" t="s">
        <v>163</v>
      </c>
      <c r="F15" s="27" t="s">
        <v>204</v>
      </c>
      <c r="G15" s="152" t="s">
        <v>173</v>
      </c>
      <c r="H15" s="151" t="s">
        <v>174</v>
      </c>
      <c r="I15" s="3"/>
      <c r="J15" s="4">
        <v>2000</v>
      </c>
      <c r="K15" s="4"/>
      <c r="L15" s="12"/>
      <c r="M15" s="12"/>
      <c r="N15" s="13"/>
      <c r="O15" s="12"/>
      <c r="P15" s="12"/>
      <c r="Q15" s="12"/>
      <c r="R15" s="12"/>
      <c r="S15" s="12"/>
    </row>
    <row r="16" spans="1:19" ht="90" x14ac:dyDescent="0.25">
      <c r="A16" s="27" t="s">
        <v>118</v>
      </c>
      <c r="B16" s="52">
        <v>36000</v>
      </c>
      <c r="C16" s="138" t="s">
        <v>182</v>
      </c>
      <c r="D16" s="120" t="s">
        <v>187</v>
      </c>
      <c r="E16" s="129" t="s">
        <v>163</v>
      </c>
      <c r="F16" s="27" t="s">
        <v>204</v>
      </c>
      <c r="G16" s="152" t="s">
        <v>173</v>
      </c>
      <c r="H16" s="151" t="s">
        <v>174</v>
      </c>
      <c r="I16" s="3"/>
      <c r="J16" s="4">
        <v>36000</v>
      </c>
      <c r="K16" s="4"/>
      <c r="L16" s="12"/>
      <c r="M16" s="12"/>
      <c r="N16" s="13"/>
      <c r="O16" s="12"/>
      <c r="P16" s="12"/>
      <c r="Q16" s="12"/>
      <c r="R16" s="12"/>
      <c r="S16" s="12"/>
    </row>
    <row r="17" spans="1:19" ht="90" x14ac:dyDescent="0.25">
      <c r="A17" s="27" t="s">
        <v>119</v>
      </c>
      <c r="B17" s="52">
        <v>8000</v>
      </c>
      <c r="C17" s="138" t="s">
        <v>182</v>
      </c>
      <c r="D17" s="120" t="s">
        <v>187</v>
      </c>
      <c r="E17" s="129" t="s">
        <v>163</v>
      </c>
      <c r="F17" s="27" t="s">
        <v>204</v>
      </c>
      <c r="G17" s="152" t="s">
        <v>173</v>
      </c>
      <c r="H17" s="151" t="s">
        <v>174</v>
      </c>
      <c r="I17" s="3"/>
      <c r="J17" s="4">
        <v>8000</v>
      </c>
      <c r="K17" s="4"/>
      <c r="L17" s="12"/>
      <c r="M17" s="12"/>
      <c r="N17" s="13"/>
      <c r="O17" s="12"/>
      <c r="P17" s="12"/>
      <c r="Q17" s="12"/>
      <c r="R17" s="12"/>
      <c r="S17" s="12"/>
    </row>
    <row r="18" spans="1:19" ht="36" x14ac:dyDescent="0.25">
      <c r="A18" s="27" t="s">
        <v>120</v>
      </c>
      <c r="B18" s="52">
        <v>300</v>
      </c>
      <c r="C18" s="138" t="s">
        <v>185</v>
      </c>
      <c r="D18" s="120" t="s">
        <v>187</v>
      </c>
      <c r="E18" s="129" t="s">
        <v>199</v>
      </c>
      <c r="F18" s="27" t="s">
        <v>214</v>
      </c>
      <c r="G18" s="152" t="s">
        <v>173</v>
      </c>
      <c r="H18" s="151" t="s">
        <v>174</v>
      </c>
      <c r="I18" s="3">
        <v>300</v>
      </c>
      <c r="J18" s="4">
        <v>300</v>
      </c>
      <c r="K18" s="4"/>
      <c r="L18" s="12"/>
      <c r="M18" s="12"/>
      <c r="N18" s="13"/>
      <c r="O18" s="12"/>
      <c r="P18" s="12"/>
      <c r="Q18" s="12"/>
      <c r="R18" s="12"/>
      <c r="S18" s="12"/>
    </row>
    <row r="19" spans="1:19" ht="90" x14ac:dyDescent="0.25">
      <c r="A19" s="27" t="s">
        <v>121</v>
      </c>
      <c r="B19" s="52">
        <v>2000</v>
      </c>
      <c r="C19" s="138" t="s">
        <v>182</v>
      </c>
      <c r="D19" s="120" t="s">
        <v>187</v>
      </c>
      <c r="E19" s="129" t="s">
        <v>163</v>
      </c>
      <c r="F19" s="27" t="s">
        <v>204</v>
      </c>
      <c r="G19" s="152" t="s">
        <v>173</v>
      </c>
      <c r="H19" s="151" t="s">
        <v>174</v>
      </c>
      <c r="I19" s="3"/>
      <c r="J19" s="4">
        <v>2000</v>
      </c>
      <c r="K19" s="4"/>
      <c r="L19" s="12"/>
      <c r="M19" s="12"/>
      <c r="N19" s="13"/>
      <c r="O19" s="12"/>
      <c r="P19" s="12"/>
      <c r="Q19" s="12"/>
      <c r="R19" s="12"/>
      <c r="S19" s="12"/>
    </row>
    <row r="20" spans="1:19" ht="90" x14ac:dyDescent="0.25">
      <c r="A20" s="27" t="s">
        <v>122</v>
      </c>
      <c r="B20" s="52">
        <v>4000</v>
      </c>
      <c r="C20" s="138" t="s">
        <v>182</v>
      </c>
      <c r="D20" s="120" t="s">
        <v>187</v>
      </c>
      <c r="E20" s="129" t="s">
        <v>163</v>
      </c>
      <c r="F20" s="27" t="s">
        <v>204</v>
      </c>
      <c r="G20" s="152" t="s">
        <v>173</v>
      </c>
      <c r="H20" s="151" t="s">
        <v>174</v>
      </c>
      <c r="I20" s="24"/>
      <c r="J20" s="4">
        <v>4000</v>
      </c>
      <c r="K20" s="4"/>
      <c r="L20" s="12"/>
      <c r="M20" s="12"/>
      <c r="N20" s="13"/>
      <c r="O20" s="12"/>
      <c r="P20" s="12"/>
      <c r="Q20" s="12"/>
      <c r="R20" s="12"/>
      <c r="S20" s="12"/>
    </row>
    <row r="21" spans="1:19" ht="90" x14ac:dyDescent="0.25">
      <c r="A21" s="27" t="s">
        <v>123</v>
      </c>
      <c r="B21" s="52">
        <v>14000</v>
      </c>
      <c r="C21" s="138" t="s">
        <v>182</v>
      </c>
      <c r="D21" s="120" t="s">
        <v>187</v>
      </c>
      <c r="E21" s="129" t="s">
        <v>163</v>
      </c>
      <c r="F21" s="27" t="s">
        <v>204</v>
      </c>
      <c r="G21" s="152" t="s">
        <v>173</v>
      </c>
      <c r="H21" s="151" t="s">
        <v>174</v>
      </c>
      <c r="I21" s="24"/>
      <c r="J21" s="4">
        <v>14000</v>
      </c>
      <c r="K21" s="4"/>
      <c r="L21" s="12"/>
      <c r="M21" s="12"/>
      <c r="N21" s="13"/>
      <c r="O21" s="12"/>
      <c r="P21" s="12"/>
      <c r="Q21" s="12"/>
      <c r="R21" s="12"/>
      <c r="S21" s="12"/>
    </row>
    <row r="22" spans="1:19" ht="90" x14ac:dyDescent="0.25">
      <c r="A22" s="27" t="s">
        <v>124</v>
      </c>
      <c r="B22" s="52">
        <v>2000</v>
      </c>
      <c r="C22" s="138" t="s">
        <v>182</v>
      </c>
      <c r="D22" s="120" t="s">
        <v>187</v>
      </c>
      <c r="E22" s="129" t="s">
        <v>163</v>
      </c>
      <c r="F22" s="27" t="s">
        <v>204</v>
      </c>
      <c r="G22" s="152" t="s">
        <v>173</v>
      </c>
      <c r="H22" s="151" t="s">
        <v>174</v>
      </c>
      <c r="I22" s="24"/>
      <c r="J22" s="4">
        <v>2000</v>
      </c>
      <c r="K22" s="4"/>
      <c r="L22" s="12"/>
      <c r="M22" s="12"/>
      <c r="N22" s="13"/>
      <c r="O22" s="12"/>
      <c r="P22" s="12"/>
      <c r="Q22" s="12"/>
      <c r="R22" s="12"/>
      <c r="S22" s="12"/>
    </row>
    <row r="23" spans="1:19" ht="90" x14ac:dyDescent="0.25">
      <c r="A23" s="27" t="s">
        <v>125</v>
      </c>
      <c r="B23" s="52">
        <v>200000</v>
      </c>
      <c r="C23" s="138" t="s">
        <v>182</v>
      </c>
      <c r="D23" s="120" t="s">
        <v>187</v>
      </c>
      <c r="E23" s="129" t="s">
        <v>163</v>
      </c>
      <c r="F23" s="27" t="s">
        <v>204</v>
      </c>
      <c r="G23" s="152" t="s">
        <v>173</v>
      </c>
      <c r="H23" s="151" t="s">
        <v>174</v>
      </c>
      <c r="I23" s="24"/>
      <c r="J23" s="4">
        <v>200000</v>
      </c>
      <c r="K23" s="4"/>
      <c r="L23" s="12"/>
      <c r="M23" s="12"/>
      <c r="N23" s="13"/>
      <c r="O23" s="12"/>
      <c r="P23" s="12"/>
      <c r="Q23" s="12"/>
      <c r="R23" s="12"/>
      <c r="S23" s="12"/>
    </row>
    <row r="24" spans="1:19" ht="90" x14ac:dyDescent="0.25">
      <c r="A24" s="27" t="s">
        <v>126</v>
      </c>
      <c r="B24" s="52">
        <v>4000</v>
      </c>
      <c r="C24" s="138" t="s">
        <v>182</v>
      </c>
      <c r="D24" s="120" t="s">
        <v>187</v>
      </c>
      <c r="E24" s="129" t="s">
        <v>163</v>
      </c>
      <c r="F24" s="27" t="s">
        <v>204</v>
      </c>
      <c r="G24" s="152" t="s">
        <v>173</v>
      </c>
      <c r="H24" s="151" t="s">
        <v>174</v>
      </c>
      <c r="I24" s="24"/>
      <c r="J24" s="4">
        <v>4000</v>
      </c>
      <c r="K24" s="4"/>
      <c r="L24" s="12"/>
      <c r="M24" s="12"/>
      <c r="N24" s="13"/>
      <c r="O24" s="12"/>
      <c r="P24" s="12"/>
      <c r="Q24" s="12"/>
      <c r="R24" s="12"/>
      <c r="S24" s="12"/>
    </row>
    <row r="25" spans="1:19" ht="36" x14ac:dyDescent="0.25">
      <c r="A25" s="27" t="s">
        <v>127</v>
      </c>
      <c r="B25" s="52">
        <v>600</v>
      </c>
      <c r="C25" s="138" t="s">
        <v>185</v>
      </c>
      <c r="D25" s="120" t="s">
        <v>187</v>
      </c>
      <c r="E25" s="129" t="s">
        <v>199</v>
      </c>
      <c r="F25" s="27" t="s">
        <v>214</v>
      </c>
      <c r="G25" s="152" t="s">
        <v>173</v>
      </c>
      <c r="H25" s="151" t="s">
        <v>174</v>
      </c>
      <c r="I25" s="3"/>
      <c r="J25" s="4">
        <v>600</v>
      </c>
      <c r="K25" s="4"/>
      <c r="L25" s="12"/>
      <c r="M25" s="12"/>
      <c r="N25" s="13"/>
      <c r="O25" s="12"/>
      <c r="P25" s="12"/>
      <c r="Q25" s="12"/>
      <c r="R25" s="12"/>
      <c r="S25" s="12"/>
    </row>
    <row r="26" spans="1:19" ht="90" x14ac:dyDescent="0.25">
      <c r="A26" s="27" t="s">
        <v>128</v>
      </c>
      <c r="B26" s="52">
        <v>4000</v>
      </c>
      <c r="C26" s="138" t="s">
        <v>182</v>
      </c>
      <c r="D26" s="120" t="s">
        <v>187</v>
      </c>
      <c r="E26" s="129" t="s">
        <v>163</v>
      </c>
      <c r="F26" s="27" t="s">
        <v>204</v>
      </c>
      <c r="G26" s="152" t="s">
        <v>173</v>
      </c>
      <c r="H26" s="151" t="s">
        <v>174</v>
      </c>
      <c r="I26" s="3">
        <v>4000</v>
      </c>
      <c r="J26" s="4"/>
      <c r="K26" s="4"/>
      <c r="L26" s="12"/>
      <c r="M26" s="12"/>
      <c r="N26" s="13"/>
      <c r="O26" s="12"/>
      <c r="P26" s="12"/>
      <c r="Q26" s="12"/>
      <c r="R26" s="12"/>
      <c r="S26" s="12"/>
    </row>
    <row r="27" spans="1:19" ht="36" x14ac:dyDescent="0.25">
      <c r="A27" s="27" t="s">
        <v>129</v>
      </c>
      <c r="B27" s="52">
        <v>1000</v>
      </c>
      <c r="C27" s="138" t="s">
        <v>185</v>
      </c>
      <c r="D27" s="120" t="s">
        <v>187</v>
      </c>
      <c r="E27" s="129" t="s">
        <v>199</v>
      </c>
      <c r="F27" s="27" t="s">
        <v>214</v>
      </c>
      <c r="G27" s="152" t="s">
        <v>173</v>
      </c>
      <c r="H27" s="151" t="s">
        <v>174</v>
      </c>
      <c r="I27" s="3">
        <v>1000</v>
      </c>
      <c r="J27" s="4"/>
      <c r="K27" s="4"/>
      <c r="L27" s="12"/>
      <c r="M27" s="12"/>
      <c r="N27" s="13"/>
      <c r="O27" s="12"/>
      <c r="P27" s="12"/>
      <c r="Q27" s="12"/>
      <c r="R27" s="12"/>
      <c r="S27" s="12"/>
    </row>
    <row r="28" spans="1:19" ht="90" x14ac:dyDescent="0.25">
      <c r="A28" s="27" t="s">
        <v>130</v>
      </c>
      <c r="B28" s="52">
        <v>10000</v>
      </c>
      <c r="C28" s="138" t="s">
        <v>182</v>
      </c>
      <c r="D28" s="120" t="s">
        <v>187</v>
      </c>
      <c r="E28" s="129" t="s">
        <v>163</v>
      </c>
      <c r="F28" s="27" t="s">
        <v>204</v>
      </c>
      <c r="G28" s="152" t="s">
        <v>173</v>
      </c>
      <c r="H28" s="151" t="s">
        <v>174</v>
      </c>
      <c r="I28" s="24"/>
      <c r="J28" s="4">
        <v>10000</v>
      </c>
      <c r="K28" s="4"/>
      <c r="L28" s="12"/>
      <c r="M28" s="12"/>
      <c r="N28" s="13"/>
      <c r="O28" s="12"/>
      <c r="P28" s="12"/>
      <c r="Q28" s="12"/>
      <c r="R28" s="12"/>
      <c r="S28" s="12"/>
    </row>
    <row r="29" spans="1:19" ht="90" x14ac:dyDescent="0.25">
      <c r="A29" s="27" t="s">
        <v>131</v>
      </c>
      <c r="B29" s="52">
        <v>20000</v>
      </c>
      <c r="C29" s="138" t="s">
        <v>182</v>
      </c>
      <c r="D29" s="120" t="s">
        <v>187</v>
      </c>
      <c r="E29" s="129" t="s">
        <v>163</v>
      </c>
      <c r="F29" s="27" t="s">
        <v>204</v>
      </c>
      <c r="G29" s="152" t="s">
        <v>173</v>
      </c>
      <c r="H29" s="151" t="s">
        <v>174</v>
      </c>
      <c r="I29" s="24"/>
      <c r="J29" s="4">
        <v>20000</v>
      </c>
      <c r="K29" s="4"/>
      <c r="L29" s="12"/>
      <c r="M29" s="12"/>
      <c r="N29" s="13"/>
      <c r="O29" s="12"/>
      <c r="P29" s="12"/>
      <c r="Q29" s="12"/>
      <c r="R29" s="12"/>
      <c r="S29" s="12"/>
    </row>
    <row r="30" spans="1:19" ht="36" x14ac:dyDescent="0.25">
      <c r="A30" s="27" t="s">
        <v>132</v>
      </c>
      <c r="B30" s="52">
        <v>1500</v>
      </c>
      <c r="C30" s="138" t="s">
        <v>185</v>
      </c>
      <c r="D30" s="120" t="s">
        <v>187</v>
      </c>
      <c r="E30" s="129" t="s">
        <v>199</v>
      </c>
      <c r="F30" s="27" t="s">
        <v>214</v>
      </c>
      <c r="G30" s="152" t="s">
        <v>173</v>
      </c>
      <c r="H30" s="151" t="s">
        <v>174</v>
      </c>
      <c r="I30" s="3">
        <v>1500</v>
      </c>
      <c r="J30" s="4"/>
      <c r="K30" s="4"/>
      <c r="L30" s="12"/>
      <c r="M30" s="12"/>
      <c r="N30" s="13"/>
      <c r="O30" s="12"/>
      <c r="P30" s="12"/>
      <c r="Q30" s="12"/>
      <c r="R30" s="12"/>
      <c r="S30" s="12"/>
    </row>
    <row r="31" spans="1:19" ht="90" x14ac:dyDescent="0.25">
      <c r="A31" s="27" t="s">
        <v>50</v>
      </c>
      <c r="B31" s="155">
        <f>900+2300</f>
        <v>3200</v>
      </c>
      <c r="C31" s="138" t="s">
        <v>182</v>
      </c>
      <c r="D31" s="120" t="s">
        <v>187</v>
      </c>
      <c r="E31" s="129" t="s">
        <v>163</v>
      </c>
      <c r="F31" s="27" t="s">
        <v>204</v>
      </c>
      <c r="G31" s="152" t="s">
        <v>173</v>
      </c>
      <c r="H31" s="151" t="s">
        <v>174</v>
      </c>
      <c r="I31" s="53">
        <v>2300</v>
      </c>
      <c r="J31" s="51"/>
      <c r="K31" s="4">
        <v>900</v>
      </c>
      <c r="L31" s="4"/>
      <c r="M31" s="4"/>
      <c r="N31" s="12"/>
      <c r="O31" s="12"/>
      <c r="P31" s="12"/>
      <c r="Q31" s="12"/>
      <c r="R31" s="12"/>
      <c r="S31" s="12"/>
    </row>
    <row r="32" spans="1:19" ht="90" x14ac:dyDescent="0.25">
      <c r="A32" s="27" t="s">
        <v>51</v>
      </c>
      <c r="B32" s="52">
        <f>3000+1800</f>
        <v>4800</v>
      </c>
      <c r="C32" s="138" t="s">
        <v>182</v>
      </c>
      <c r="D32" s="120" t="s">
        <v>187</v>
      </c>
      <c r="E32" s="129" t="s">
        <v>163</v>
      </c>
      <c r="F32" s="27" t="s">
        <v>204</v>
      </c>
      <c r="G32" s="152" t="s">
        <v>173</v>
      </c>
      <c r="H32" s="151" t="s">
        <v>174</v>
      </c>
      <c r="I32" s="3">
        <v>3000</v>
      </c>
      <c r="J32" s="4"/>
      <c r="K32" s="4">
        <v>1800</v>
      </c>
      <c r="L32" s="4"/>
      <c r="M32" s="4"/>
      <c r="N32" s="12"/>
      <c r="O32" s="12"/>
      <c r="P32" s="12"/>
      <c r="Q32" s="12"/>
      <c r="R32" s="12"/>
      <c r="S32" s="12"/>
    </row>
    <row r="33" spans="1:19" ht="90" x14ac:dyDescent="0.25">
      <c r="A33" s="27" t="s">
        <v>52</v>
      </c>
      <c r="B33" s="52">
        <f>1800+2400</f>
        <v>4200</v>
      </c>
      <c r="C33" s="138" t="s">
        <v>182</v>
      </c>
      <c r="D33" s="120" t="s">
        <v>187</v>
      </c>
      <c r="E33" s="129" t="s">
        <v>163</v>
      </c>
      <c r="F33" s="27" t="s">
        <v>204</v>
      </c>
      <c r="G33" s="152" t="s">
        <v>173</v>
      </c>
      <c r="H33" s="151" t="s">
        <v>174</v>
      </c>
      <c r="I33" s="3">
        <v>2400</v>
      </c>
      <c r="J33" s="4"/>
      <c r="K33" s="4">
        <v>1800</v>
      </c>
      <c r="L33" s="4"/>
      <c r="M33" s="4"/>
      <c r="N33" s="12"/>
      <c r="O33" s="12"/>
      <c r="P33" s="12"/>
      <c r="Q33" s="12"/>
      <c r="R33" s="12"/>
      <c r="S33" s="12"/>
    </row>
    <row r="34" spans="1:19" ht="36" x14ac:dyDescent="0.25">
      <c r="A34" s="27" t="s">
        <v>107</v>
      </c>
      <c r="B34" s="52">
        <v>1000</v>
      </c>
      <c r="C34" s="138" t="s">
        <v>185</v>
      </c>
      <c r="D34" s="120" t="s">
        <v>187</v>
      </c>
      <c r="E34" s="129" t="s">
        <v>199</v>
      </c>
      <c r="F34" s="27" t="s">
        <v>214</v>
      </c>
      <c r="G34" s="152" t="s">
        <v>173</v>
      </c>
      <c r="H34" s="151" t="s">
        <v>174</v>
      </c>
      <c r="I34" s="3">
        <v>1000</v>
      </c>
      <c r="J34" s="4"/>
      <c r="K34" s="4"/>
      <c r="L34" s="4"/>
      <c r="M34" s="4"/>
      <c r="N34" s="12"/>
      <c r="O34" s="12"/>
      <c r="P34" s="12"/>
      <c r="Q34" s="12"/>
      <c r="R34" s="12"/>
      <c r="S34" s="12"/>
    </row>
    <row r="35" spans="1:19" ht="36" x14ac:dyDescent="0.25">
      <c r="A35" s="27" t="s">
        <v>106</v>
      </c>
      <c r="B35" s="52">
        <v>1000</v>
      </c>
      <c r="C35" s="138" t="s">
        <v>185</v>
      </c>
      <c r="D35" s="120" t="s">
        <v>187</v>
      </c>
      <c r="E35" s="129" t="s">
        <v>199</v>
      </c>
      <c r="F35" s="27" t="s">
        <v>214</v>
      </c>
      <c r="G35" s="152" t="s">
        <v>173</v>
      </c>
      <c r="H35" s="151" t="s">
        <v>174</v>
      </c>
      <c r="I35" s="3">
        <v>1000</v>
      </c>
      <c r="J35" s="4"/>
      <c r="K35" s="4"/>
      <c r="L35" s="4"/>
      <c r="M35" s="4"/>
      <c r="N35" s="12"/>
      <c r="O35" s="12"/>
      <c r="P35" s="12"/>
      <c r="Q35" s="12"/>
      <c r="R35" s="12"/>
      <c r="S35" s="12"/>
    </row>
    <row r="36" spans="1:19" ht="36" x14ac:dyDescent="0.25">
      <c r="A36" s="27" t="s">
        <v>108</v>
      </c>
      <c r="B36" s="52">
        <v>1000</v>
      </c>
      <c r="C36" s="138" t="s">
        <v>183</v>
      </c>
      <c r="D36" s="120" t="s">
        <v>187</v>
      </c>
      <c r="E36" s="129" t="s">
        <v>161</v>
      </c>
      <c r="F36" s="27" t="s">
        <v>164</v>
      </c>
      <c r="G36" s="152" t="s">
        <v>173</v>
      </c>
      <c r="H36" s="151" t="s">
        <v>174</v>
      </c>
      <c r="I36" s="3">
        <v>1000</v>
      </c>
      <c r="J36" s="4"/>
      <c r="K36" s="4"/>
      <c r="L36" s="4"/>
      <c r="M36" s="4"/>
      <c r="N36" s="12"/>
      <c r="O36" s="12"/>
      <c r="P36" s="12"/>
      <c r="Q36" s="12"/>
      <c r="R36" s="12"/>
      <c r="S36" s="12"/>
    </row>
    <row r="37" spans="1:19" ht="36" x14ac:dyDescent="0.25">
      <c r="A37" s="27" t="s">
        <v>109</v>
      </c>
      <c r="B37" s="52">
        <v>1000</v>
      </c>
      <c r="C37" s="138" t="s">
        <v>183</v>
      </c>
      <c r="D37" s="120" t="s">
        <v>187</v>
      </c>
      <c r="E37" s="129" t="s">
        <v>161</v>
      </c>
      <c r="F37" s="27" t="s">
        <v>164</v>
      </c>
      <c r="G37" s="152" t="s">
        <v>173</v>
      </c>
      <c r="H37" s="151" t="s">
        <v>174</v>
      </c>
      <c r="I37" s="3">
        <v>1000</v>
      </c>
      <c r="J37" s="4"/>
      <c r="K37" s="4"/>
      <c r="L37" s="4"/>
      <c r="M37" s="4"/>
      <c r="N37" s="12"/>
      <c r="O37" s="12"/>
      <c r="P37" s="12"/>
      <c r="Q37" s="12"/>
      <c r="R37" s="12"/>
      <c r="S37" s="12"/>
    </row>
    <row r="38" spans="1:19" ht="54" x14ac:dyDescent="0.25">
      <c r="A38" s="27" t="s">
        <v>53</v>
      </c>
      <c r="B38" s="52">
        <v>900</v>
      </c>
      <c r="C38" s="138" t="s">
        <v>183</v>
      </c>
      <c r="D38" s="120" t="s">
        <v>187</v>
      </c>
      <c r="E38" s="129" t="s">
        <v>161</v>
      </c>
      <c r="F38" s="27" t="s">
        <v>164</v>
      </c>
      <c r="G38" s="152" t="s">
        <v>173</v>
      </c>
      <c r="H38" s="151" t="s">
        <v>174</v>
      </c>
      <c r="I38" s="3"/>
      <c r="J38" s="4"/>
      <c r="K38" s="4">
        <v>900</v>
      </c>
      <c r="L38" s="4"/>
      <c r="M38" s="4"/>
      <c r="N38" s="4"/>
      <c r="O38" s="4"/>
      <c r="P38" s="4"/>
      <c r="Q38" s="4"/>
      <c r="R38" s="4"/>
      <c r="S38" s="4"/>
    </row>
    <row r="39" spans="1:19" ht="36" x14ac:dyDescent="0.25">
      <c r="A39" s="27" t="s">
        <v>54</v>
      </c>
      <c r="B39" s="52">
        <f>3000</f>
        <v>3000</v>
      </c>
      <c r="C39" s="138" t="s">
        <v>183</v>
      </c>
      <c r="D39" s="120" t="s">
        <v>187</v>
      </c>
      <c r="E39" s="129" t="s">
        <v>161</v>
      </c>
      <c r="F39" s="27" t="s">
        <v>164</v>
      </c>
      <c r="G39" s="152" t="s">
        <v>173</v>
      </c>
      <c r="H39" s="151" t="s">
        <v>174</v>
      </c>
      <c r="I39" s="24"/>
      <c r="J39" s="4"/>
      <c r="K39" s="4">
        <v>3000</v>
      </c>
      <c r="L39" s="4"/>
      <c r="M39" s="4"/>
      <c r="N39" s="4"/>
      <c r="O39" s="4"/>
      <c r="P39" s="4"/>
      <c r="Q39" s="4"/>
      <c r="R39" s="4"/>
      <c r="S39" s="4"/>
    </row>
    <row r="40" spans="1:19" ht="54" x14ac:dyDescent="0.25">
      <c r="A40" s="27" t="s">
        <v>55</v>
      </c>
      <c r="B40" s="52">
        <f>3000</f>
        <v>3000</v>
      </c>
      <c r="C40" s="138" t="s">
        <v>183</v>
      </c>
      <c r="D40" s="120" t="s">
        <v>187</v>
      </c>
      <c r="E40" s="129" t="s">
        <v>161</v>
      </c>
      <c r="F40" s="27" t="s">
        <v>164</v>
      </c>
      <c r="G40" s="152" t="s">
        <v>173</v>
      </c>
      <c r="H40" s="151" t="s">
        <v>174</v>
      </c>
      <c r="I40" s="24"/>
      <c r="J40" s="4"/>
      <c r="K40" s="4">
        <v>3000</v>
      </c>
      <c r="L40" s="4"/>
      <c r="M40" s="4"/>
      <c r="N40" s="4"/>
      <c r="O40" s="4"/>
      <c r="P40" s="4"/>
      <c r="Q40" s="4"/>
      <c r="R40" s="4"/>
      <c r="S40" s="4"/>
    </row>
    <row r="41" spans="1:19" ht="36" x14ac:dyDescent="0.25">
      <c r="A41" s="27" t="s">
        <v>56</v>
      </c>
      <c r="B41" s="52">
        <f>9000</f>
        <v>9000</v>
      </c>
      <c r="C41" s="138" t="s">
        <v>183</v>
      </c>
      <c r="D41" s="120" t="s">
        <v>187</v>
      </c>
      <c r="E41" s="129" t="s">
        <v>161</v>
      </c>
      <c r="F41" s="27" t="s">
        <v>164</v>
      </c>
      <c r="G41" s="152" t="s">
        <v>173</v>
      </c>
      <c r="H41" s="151" t="s">
        <v>174</v>
      </c>
      <c r="I41" s="24"/>
      <c r="J41" s="4"/>
      <c r="K41" s="4">
        <v>9000</v>
      </c>
      <c r="L41" s="4"/>
      <c r="M41" s="4"/>
      <c r="N41" s="4"/>
      <c r="O41" s="4"/>
      <c r="P41" s="4"/>
      <c r="Q41" s="4"/>
      <c r="R41" s="4"/>
      <c r="S41" s="4"/>
    </row>
    <row r="42" spans="1:19" ht="36" x14ac:dyDescent="0.25">
      <c r="A42" s="27" t="s">
        <v>57</v>
      </c>
      <c r="B42" s="52">
        <v>3000</v>
      </c>
      <c r="C42" s="138" t="s">
        <v>183</v>
      </c>
      <c r="D42" s="120" t="s">
        <v>187</v>
      </c>
      <c r="E42" s="129" t="s">
        <v>161</v>
      </c>
      <c r="F42" s="27" t="s">
        <v>164</v>
      </c>
      <c r="G42" s="152" t="s">
        <v>173</v>
      </c>
      <c r="H42" s="151" t="s">
        <v>174</v>
      </c>
      <c r="I42" s="3"/>
      <c r="J42" s="4">
        <v>3000</v>
      </c>
      <c r="K42" s="4"/>
      <c r="L42" s="4"/>
      <c r="M42" s="4"/>
      <c r="N42" s="4"/>
      <c r="O42" s="4"/>
      <c r="P42" s="4"/>
      <c r="Q42" s="4"/>
      <c r="R42" s="4"/>
      <c r="S42" s="4"/>
    </row>
    <row r="43" spans="1:19" ht="36" x14ac:dyDescent="0.25">
      <c r="A43" s="27" t="s">
        <v>58</v>
      </c>
      <c r="B43" s="52">
        <v>900</v>
      </c>
      <c r="C43" s="138" t="s">
        <v>183</v>
      </c>
      <c r="D43" s="120" t="s">
        <v>187</v>
      </c>
      <c r="E43" s="129" t="s">
        <v>161</v>
      </c>
      <c r="F43" s="27" t="s">
        <v>164</v>
      </c>
      <c r="G43" s="152" t="s">
        <v>173</v>
      </c>
      <c r="H43" s="151" t="s">
        <v>174</v>
      </c>
      <c r="I43" s="3"/>
      <c r="J43" s="4"/>
      <c r="K43" s="4"/>
      <c r="L43" s="4"/>
      <c r="M43" s="4"/>
      <c r="N43" s="4"/>
      <c r="O43" s="4">
        <v>900</v>
      </c>
      <c r="P43" s="4"/>
      <c r="Q43" s="4"/>
      <c r="R43" s="4"/>
      <c r="S43" s="4"/>
    </row>
    <row r="44" spans="1:19" ht="36" x14ac:dyDescent="0.25">
      <c r="A44" s="27" t="s">
        <v>59</v>
      </c>
      <c r="B44" s="52">
        <v>900</v>
      </c>
      <c r="C44" s="138" t="s">
        <v>183</v>
      </c>
      <c r="D44" s="120" t="s">
        <v>187</v>
      </c>
      <c r="E44" s="129" t="s">
        <v>161</v>
      </c>
      <c r="F44" s="27" t="s">
        <v>164</v>
      </c>
      <c r="G44" s="152" t="s">
        <v>173</v>
      </c>
      <c r="H44" s="151" t="s">
        <v>174</v>
      </c>
      <c r="I44" s="3"/>
      <c r="J44" s="4"/>
      <c r="K44" s="4"/>
      <c r="L44" s="4"/>
      <c r="M44" s="4"/>
      <c r="N44" s="4"/>
      <c r="O44" s="4">
        <v>900</v>
      </c>
      <c r="P44" s="4"/>
      <c r="Q44" s="4"/>
      <c r="R44" s="4"/>
      <c r="S44" s="4"/>
    </row>
    <row r="45" spans="1:19" ht="54" x14ac:dyDescent="0.25">
      <c r="A45" s="160">
        <v>46204</v>
      </c>
      <c r="B45" s="52">
        <f>1200+900</f>
        <v>2100</v>
      </c>
      <c r="C45" s="138" t="s">
        <v>219</v>
      </c>
      <c r="D45" s="120" t="s">
        <v>187</v>
      </c>
      <c r="E45" s="129" t="s">
        <v>220</v>
      </c>
      <c r="F45" s="160" t="s">
        <v>221</v>
      </c>
      <c r="G45" s="152" t="s">
        <v>173</v>
      </c>
      <c r="H45" s="151" t="s">
        <v>174</v>
      </c>
      <c r="I45" s="3"/>
      <c r="J45" s="4"/>
      <c r="K45" s="4"/>
      <c r="L45" s="4"/>
      <c r="M45" s="4"/>
      <c r="N45" s="4"/>
      <c r="O45" s="4"/>
      <c r="P45" s="4"/>
      <c r="Q45" s="4"/>
      <c r="R45" s="4">
        <v>900</v>
      </c>
      <c r="S45" s="4"/>
    </row>
    <row r="46" spans="1:19" ht="90" x14ac:dyDescent="0.25">
      <c r="A46" s="27" t="s">
        <v>98</v>
      </c>
      <c r="B46" s="52">
        <f>900+900</f>
        <v>1800</v>
      </c>
      <c r="C46" s="138" t="s">
        <v>182</v>
      </c>
      <c r="D46" s="120" t="s">
        <v>187</v>
      </c>
      <c r="E46" s="129" t="s">
        <v>163</v>
      </c>
      <c r="F46" s="27" t="s">
        <v>204</v>
      </c>
      <c r="G46" s="152" t="s">
        <v>173</v>
      </c>
      <c r="H46" s="151" t="s">
        <v>174</v>
      </c>
      <c r="I46" s="3"/>
      <c r="J46" s="23"/>
      <c r="K46" s="4">
        <v>900</v>
      </c>
      <c r="L46" s="4"/>
      <c r="M46" s="4"/>
      <c r="N46" s="4"/>
      <c r="O46" s="4"/>
      <c r="P46" s="4"/>
      <c r="Q46" s="4"/>
      <c r="R46" s="4"/>
      <c r="S46" s="4"/>
    </row>
    <row r="47" spans="1:19" ht="90" x14ac:dyDescent="0.25">
      <c r="A47" s="27" t="s">
        <v>99</v>
      </c>
      <c r="B47" s="52">
        <f>900+1700</f>
        <v>2600</v>
      </c>
      <c r="C47" s="138" t="s">
        <v>182</v>
      </c>
      <c r="D47" s="120" t="s">
        <v>187</v>
      </c>
      <c r="E47" s="129" t="s">
        <v>163</v>
      </c>
      <c r="F47" s="27" t="s">
        <v>204</v>
      </c>
      <c r="G47" s="152" t="s">
        <v>173</v>
      </c>
      <c r="H47" s="151" t="s">
        <v>174</v>
      </c>
      <c r="I47" s="3"/>
      <c r="J47" s="4">
        <v>2600</v>
      </c>
      <c r="K47" s="4"/>
      <c r="L47" s="4"/>
      <c r="M47" s="4"/>
      <c r="N47" s="4"/>
      <c r="O47" s="4"/>
      <c r="P47" s="4"/>
      <c r="Q47" s="4"/>
      <c r="R47" s="4"/>
      <c r="S47" s="4"/>
    </row>
    <row r="48" spans="1:19" ht="90" x14ac:dyDescent="0.25">
      <c r="A48" s="27" t="s">
        <v>60</v>
      </c>
      <c r="B48" s="52">
        <f>2900+900</f>
        <v>3800</v>
      </c>
      <c r="C48" s="138" t="s">
        <v>182</v>
      </c>
      <c r="D48" s="120" t="s">
        <v>187</v>
      </c>
      <c r="E48" s="129" t="s">
        <v>163</v>
      </c>
      <c r="F48" s="27" t="s">
        <v>204</v>
      </c>
      <c r="G48" s="152" t="s">
        <v>173</v>
      </c>
      <c r="H48" s="151" t="s">
        <v>174</v>
      </c>
      <c r="I48" s="3"/>
      <c r="J48" s="4">
        <v>2900</v>
      </c>
      <c r="K48" s="4"/>
      <c r="L48" s="4"/>
      <c r="M48" s="4"/>
      <c r="N48" s="4">
        <v>900</v>
      </c>
      <c r="O48" s="4"/>
      <c r="P48" s="4"/>
      <c r="Q48" s="4"/>
      <c r="R48" s="4"/>
      <c r="S48" s="4"/>
    </row>
    <row r="49" spans="1:19" ht="72" x14ac:dyDescent="0.25">
      <c r="A49" s="27" t="s">
        <v>61</v>
      </c>
      <c r="B49" s="52">
        <v>900</v>
      </c>
      <c r="C49" s="138" t="s">
        <v>183</v>
      </c>
      <c r="D49" s="120" t="s">
        <v>187</v>
      </c>
      <c r="E49" s="129" t="s">
        <v>161</v>
      </c>
      <c r="F49" s="27" t="s">
        <v>164</v>
      </c>
      <c r="G49" s="152" t="s">
        <v>173</v>
      </c>
      <c r="H49" s="151" t="s">
        <v>174</v>
      </c>
      <c r="I49" s="3"/>
      <c r="J49" s="4">
        <v>900</v>
      </c>
      <c r="K49" s="4"/>
      <c r="L49" s="4"/>
      <c r="M49" s="4"/>
      <c r="N49" s="4"/>
      <c r="O49" s="4"/>
      <c r="P49" s="4"/>
      <c r="Q49" s="4"/>
      <c r="R49" s="4"/>
      <c r="S49" s="4"/>
    </row>
    <row r="50" spans="1:19" ht="90" x14ac:dyDescent="0.25">
      <c r="A50" s="27" t="s">
        <v>62</v>
      </c>
      <c r="B50" s="52">
        <f>900+4000</f>
        <v>4900</v>
      </c>
      <c r="C50" s="138" t="s">
        <v>182</v>
      </c>
      <c r="D50" s="120" t="s">
        <v>187</v>
      </c>
      <c r="E50" s="129" t="s">
        <v>163</v>
      </c>
      <c r="F50" s="27" t="s">
        <v>204</v>
      </c>
      <c r="G50" s="152" t="s">
        <v>173</v>
      </c>
      <c r="H50" s="151" t="s">
        <v>174</v>
      </c>
      <c r="I50" s="3"/>
      <c r="J50" s="4">
        <f>900+4000</f>
        <v>4900</v>
      </c>
      <c r="K50" s="4"/>
      <c r="L50" s="4"/>
      <c r="M50" s="4"/>
      <c r="N50" s="4"/>
      <c r="O50" s="4"/>
      <c r="P50" s="4"/>
      <c r="Q50" s="4"/>
      <c r="R50" s="4"/>
      <c r="S50" s="4"/>
    </row>
    <row r="51" spans="1:19" ht="90" x14ac:dyDescent="0.25">
      <c r="A51" s="27" t="s">
        <v>63</v>
      </c>
      <c r="B51" s="52">
        <f>900+4000</f>
        <v>4900</v>
      </c>
      <c r="C51" s="138" t="s">
        <v>182</v>
      </c>
      <c r="D51" s="120" t="s">
        <v>187</v>
      </c>
      <c r="E51" s="129" t="s">
        <v>163</v>
      </c>
      <c r="F51" s="27" t="s">
        <v>204</v>
      </c>
      <c r="G51" s="152" t="s">
        <v>173</v>
      </c>
      <c r="H51" s="151" t="s">
        <v>174</v>
      </c>
      <c r="I51" s="3">
        <v>4000</v>
      </c>
      <c r="J51" s="4">
        <v>900</v>
      </c>
      <c r="K51" s="4"/>
      <c r="L51" s="4"/>
      <c r="M51" s="4"/>
      <c r="N51" s="4"/>
      <c r="O51" s="4"/>
      <c r="P51" s="4"/>
      <c r="Q51" s="4"/>
      <c r="R51" s="4"/>
      <c r="S51" s="4"/>
    </row>
    <row r="52" spans="1:19" ht="90" x14ac:dyDescent="0.25">
      <c r="A52" s="27" t="s">
        <v>64</v>
      </c>
      <c r="B52" s="52">
        <f>900+4000</f>
        <v>4900</v>
      </c>
      <c r="C52" s="138" t="s">
        <v>182</v>
      </c>
      <c r="D52" s="120" t="s">
        <v>187</v>
      </c>
      <c r="E52" s="129" t="s">
        <v>163</v>
      </c>
      <c r="F52" s="27" t="s">
        <v>204</v>
      </c>
      <c r="G52" s="152" t="s">
        <v>173</v>
      </c>
      <c r="H52" s="151" t="s">
        <v>174</v>
      </c>
      <c r="I52" s="3">
        <v>4000</v>
      </c>
      <c r="J52" s="4">
        <v>900</v>
      </c>
      <c r="K52" s="4"/>
      <c r="L52" s="4"/>
      <c r="M52" s="4"/>
      <c r="N52" s="4"/>
      <c r="O52" s="4"/>
      <c r="P52" s="4"/>
      <c r="Q52" s="4"/>
      <c r="R52" s="4"/>
      <c r="S52" s="4"/>
    </row>
    <row r="53" spans="1:19" ht="90" x14ac:dyDescent="0.25">
      <c r="A53" s="27" t="s">
        <v>65</v>
      </c>
      <c r="B53" s="52">
        <f>900+4000</f>
        <v>4900</v>
      </c>
      <c r="C53" s="138" t="s">
        <v>182</v>
      </c>
      <c r="D53" s="120" t="s">
        <v>187</v>
      </c>
      <c r="E53" s="129" t="s">
        <v>163</v>
      </c>
      <c r="F53" s="27" t="s">
        <v>204</v>
      </c>
      <c r="G53" s="152" t="s">
        <v>173</v>
      </c>
      <c r="H53" s="151" t="s">
        <v>174</v>
      </c>
      <c r="I53" s="3">
        <v>4000</v>
      </c>
      <c r="J53" s="4">
        <v>900</v>
      </c>
      <c r="K53" s="4"/>
      <c r="L53" s="4"/>
      <c r="M53" s="4"/>
      <c r="N53" s="4"/>
      <c r="O53" s="4"/>
      <c r="P53" s="4"/>
      <c r="Q53" s="4"/>
      <c r="R53" s="4"/>
      <c r="S53" s="4"/>
    </row>
    <row r="54" spans="1:19" ht="36" x14ac:dyDescent="0.25">
      <c r="A54" s="27" t="s">
        <v>66</v>
      </c>
      <c r="B54" s="52">
        <v>9000</v>
      </c>
      <c r="C54" s="138" t="s">
        <v>183</v>
      </c>
      <c r="D54" s="120" t="s">
        <v>187</v>
      </c>
      <c r="E54" s="129" t="s">
        <v>161</v>
      </c>
      <c r="F54" s="27" t="s">
        <v>164</v>
      </c>
      <c r="G54" s="152" t="s">
        <v>173</v>
      </c>
      <c r="H54" s="151" t="s">
        <v>174</v>
      </c>
      <c r="I54" s="3"/>
      <c r="J54" s="4">
        <v>9000</v>
      </c>
      <c r="K54" s="4"/>
      <c r="L54" s="4"/>
      <c r="M54" s="4"/>
      <c r="N54" s="4"/>
      <c r="O54" s="4"/>
      <c r="P54" s="4"/>
      <c r="Q54" s="4"/>
      <c r="R54" s="4"/>
      <c r="S54" s="4"/>
    </row>
    <row r="55" spans="1:19" ht="90" x14ac:dyDescent="0.25">
      <c r="A55" s="27" t="s">
        <v>105</v>
      </c>
      <c r="B55" s="52">
        <f>1000+9000</f>
        <v>10000</v>
      </c>
      <c r="C55" s="138" t="s">
        <v>182</v>
      </c>
      <c r="D55" s="120" t="s">
        <v>187</v>
      </c>
      <c r="E55" s="129" t="s">
        <v>163</v>
      </c>
      <c r="F55" s="27" t="s">
        <v>204</v>
      </c>
      <c r="G55" s="152" t="s">
        <v>173</v>
      </c>
      <c r="H55" s="151" t="s">
        <v>174</v>
      </c>
      <c r="I55" s="3">
        <v>1000</v>
      </c>
      <c r="J55" s="4"/>
      <c r="K55" s="4"/>
      <c r="L55" s="4"/>
      <c r="M55" s="4"/>
      <c r="N55" s="4"/>
      <c r="O55" s="4">
        <v>9000</v>
      </c>
      <c r="P55" s="4"/>
      <c r="Q55" s="4"/>
      <c r="R55" s="4"/>
      <c r="S55" s="4"/>
    </row>
    <row r="56" spans="1:19" ht="36" x14ac:dyDescent="0.25">
      <c r="A56" s="27" t="s">
        <v>67</v>
      </c>
      <c r="B56" s="52">
        <f>2900+1600</f>
        <v>4500</v>
      </c>
      <c r="C56" s="138" t="s">
        <v>183</v>
      </c>
      <c r="D56" s="120" t="s">
        <v>187</v>
      </c>
      <c r="E56" s="129" t="s">
        <v>161</v>
      </c>
      <c r="F56" s="27" t="s">
        <v>164</v>
      </c>
      <c r="G56" s="152" t="s">
        <v>173</v>
      </c>
      <c r="H56" s="151" t="s">
        <v>174</v>
      </c>
      <c r="I56" s="3"/>
      <c r="J56" s="4">
        <v>1600</v>
      </c>
      <c r="K56" s="4"/>
      <c r="L56" s="4"/>
      <c r="M56" s="4"/>
      <c r="N56" s="4"/>
      <c r="O56" s="4"/>
      <c r="P56" s="4">
        <v>2900</v>
      </c>
      <c r="Q56" s="4"/>
      <c r="R56" s="4"/>
      <c r="S56" s="4"/>
    </row>
    <row r="57" spans="1:19" ht="36" x14ac:dyDescent="0.25">
      <c r="A57" s="27" t="s">
        <v>100</v>
      </c>
      <c r="B57" s="52">
        <v>5700</v>
      </c>
      <c r="C57" s="138" t="s">
        <v>183</v>
      </c>
      <c r="D57" s="120" t="s">
        <v>187</v>
      </c>
      <c r="E57" s="129" t="s">
        <v>161</v>
      </c>
      <c r="F57" s="27" t="s">
        <v>164</v>
      </c>
      <c r="G57" s="152" t="s">
        <v>173</v>
      </c>
      <c r="H57" s="151" t="s">
        <v>174</v>
      </c>
      <c r="I57" s="3"/>
      <c r="J57" s="4"/>
      <c r="K57" s="4"/>
      <c r="L57" s="4"/>
      <c r="M57" s="4"/>
      <c r="N57" s="4"/>
      <c r="O57" s="4"/>
      <c r="P57" s="4">
        <v>5700</v>
      </c>
      <c r="Q57" s="4"/>
      <c r="R57" s="4"/>
      <c r="S57" s="4"/>
    </row>
    <row r="58" spans="1:19" ht="36" x14ac:dyDescent="0.25">
      <c r="A58" s="27" t="s">
        <v>68</v>
      </c>
      <c r="B58" s="52">
        <v>2900</v>
      </c>
      <c r="C58" s="138" t="s">
        <v>183</v>
      </c>
      <c r="D58" s="120" t="s">
        <v>187</v>
      </c>
      <c r="E58" s="129" t="s">
        <v>161</v>
      </c>
      <c r="F58" s="27" t="s">
        <v>164</v>
      </c>
      <c r="G58" s="152" t="s">
        <v>173</v>
      </c>
      <c r="H58" s="151" t="s">
        <v>174</v>
      </c>
      <c r="I58" s="3"/>
      <c r="J58" s="4">
        <v>2900</v>
      </c>
      <c r="K58" s="4"/>
      <c r="L58" s="4"/>
      <c r="M58" s="4"/>
      <c r="N58" s="4"/>
      <c r="O58" s="4"/>
      <c r="P58" s="4"/>
      <c r="Q58" s="4"/>
      <c r="R58" s="4"/>
      <c r="S58" s="4"/>
    </row>
    <row r="59" spans="1:19" ht="36" x14ac:dyDescent="0.25">
      <c r="A59" s="27" t="s">
        <v>69</v>
      </c>
      <c r="B59" s="52">
        <v>11400</v>
      </c>
      <c r="C59" s="138" t="s">
        <v>183</v>
      </c>
      <c r="D59" s="120" t="s">
        <v>187</v>
      </c>
      <c r="E59" s="129" t="s">
        <v>161</v>
      </c>
      <c r="F59" s="27" t="s">
        <v>164</v>
      </c>
      <c r="G59" s="152" t="s">
        <v>173</v>
      </c>
      <c r="H59" s="151" t="s">
        <v>174</v>
      </c>
      <c r="I59" s="3"/>
      <c r="J59" s="4"/>
      <c r="K59" s="4"/>
      <c r="L59" s="4"/>
      <c r="M59" s="4"/>
      <c r="N59" s="4"/>
      <c r="O59" s="4"/>
      <c r="P59" s="4">
        <v>11400</v>
      </c>
      <c r="Q59" s="4"/>
      <c r="R59" s="4"/>
      <c r="S59" s="4"/>
    </row>
    <row r="60" spans="1:19" ht="36" x14ac:dyDescent="0.25">
      <c r="A60" s="27" t="s">
        <v>70</v>
      </c>
      <c r="B60" s="52">
        <v>5700</v>
      </c>
      <c r="C60" s="138" t="s">
        <v>183</v>
      </c>
      <c r="D60" s="120" t="s">
        <v>187</v>
      </c>
      <c r="E60" s="129" t="s">
        <v>161</v>
      </c>
      <c r="F60" s="27" t="s">
        <v>164</v>
      </c>
      <c r="G60" s="152" t="s">
        <v>173</v>
      </c>
      <c r="H60" s="151" t="s">
        <v>174</v>
      </c>
      <c r="I60" s="3"/>
      <c r="J60" s="4"/>
      <c r="K60" s="4"/>
      <c r="L60" s="4"/>
      <c r="M60" s="4"/>
      <c r="N60" s="4"/>
      <c r="O60" s="4"/>
      <c r="P60" s="4">
        <v>5700</v>
      </c>
      <c r="Q60" s="4"/>
      <c r="R60" s="4"/>
      <c r="S60" s="4"/>
    </row>
    <row r="61" spans="1:19" ht="36" x14ac:dyDescent="0.25">
      <c r="A61" s="27" t="s">
        <v>101</v>
      </c>
      <c r="B61" s="52">
        <v>2900</v>
      </c>
      <c r="C61" s="138" t="s">
        <v>183</v>
      </c>
      <c r="D61" s="120" t="s">
        <v>187</v>
      </c>
      <c r="E61" s="129" t="s">
        <v>161</v>
      </c>
      <c r="F61" s="27" t="s">
        <v>164</v>
      </c>
      <c r="G61" s="152" t="s">
        <v>173</v>
      </c>
      <c r="H61" s="151" t="s">
        <v>174</v>
      </c>
      <c r="I61" s="3"/>
      <c r="J61" s="4">
        <v>2900</v>
      </c>
      <c r="K61" s="4"/>
      <c r="L61" s="4"/>
      <c r="M61" s="4"/>
      <c r="N61" s="4"/>
      <c r="O61" s="4"/>
      <c r="P61" s="4"/>
      <c r="Q61" s="4"/>
      <c r="R61" s="4"/>
      <c r="S61" s="4"/>
    </row>
    <row r="62" spans="1:19" ht="90" x14ac:dyDescent="0.25">
      <c r="A62" s="27" t="s">
        <v>102</v>
      </c>
      <c r="B62" s="52">
        <f>1800+8000</f>
        <v>9800</v>
      </c>
      <c r="C62" s="138" t="s">
        <v>182</v>
      </c>
      <c r="D62" s="120" t="s">
        <v>187</v>
      </c>
      <c r="E62" s="129" t="s">
        <v>163</v>
      </c>
      <c r="F62" s="27" t="s">
        <v>204</v>
      </c>
      <c r="G62" s="152" t="s">
        <v>173</v>
      </c>
      <c r="H62" s="151" t="s">
        <v>174</v>
      </c>
      <c r="I62" s="3"/>
      <c r="J62" s="4">
        <v>8000</v>
      </c>
      <c r="K62" s="4">
        <v>1800</v>
      </c>
      <c r="L62" s="4"/>
      <c r="M62" s="4"/>
      <c r="N62" s="4"/>
      <c r="O62" s="4"/>
      <c r="P62" s="4"/>
      <c r="Q62" s="4"/>
      <c r="R62" s="4"/>
      <c r="S62" s="4"/>
    </row>
    <row r="63" spans="1:19" ht="90" x14ac:dyDescent="0.25">
      <c r="A63" s="27" t="s">
        <v>71</v>
      </c>
      <c r="B63" s="52">
        <f>1800+4600</f>
        <v>6400</v>
      </c>
      <c r="C63" s="138" t="s">
        <v>182</v>
      </c>
      <c r="D63" s="120" t="s">
        <v>187</v>
      </c>
      <c r="E63" s="129" t="s">
        <v>163</v>
      </c>
      <c r="F63" s="27" t="s">
        <v>204</v>
      </c>
      <c r="G63" s="152" t="s">
        <v>173</v>
      </c>
      <c r="H63" s="151" t="s">
        <v>174</v>
      </c>
      <c r="I63" s="3"/>
      <c r="J63" s="4">
        <v>4600</v>
      </c>
      <c r="K63" s="4">
        <v>1800</v>
      </c>
      <c r="L63" s="4"/>
      <c r="M63" s="4"/>
      <c r="N63" s="4"/>
      <c r="O63" s="4"/>
      <c r="P63" s="4"/>
      <c r="Q63" s="4"/>
      <c r="R63" s="4"/>
      <c r="S63" s="4"/>
    </row>
    <row r="64" spans="1:19" ht="90" x14ac:dyDescent="0.25">
      <c r="A64" s="27" t="s">
        <v>72</v>
      </c>
      <c r="B64" s="52">
        <f>900+8000</f>
        <v>8900</v>
      </c>
      <c r="C64" s="138" t="s">
        <v>182</v>
      </c>
      <c r="D64" s="120" t="s">
        <v>187</v>
      </c>
      <c r="E64" s="129" t="s">
        <v>163</v>
      </c>
      <c r="F64" s="27" t="s">
        <v>204</v>
      </c>
      <c r="G64" s="152" t="s">
        <v>173</v>
      </c>
      <c r="H64" s="151" t="s">
        <v>174</v>
      </c>
      <c r="I64" s="3"/>
      <c r="J64" s="4">
        <v>8000</v>
      </c>
      <c r="K64" s="4"/>
      <c r="L64" s="4"/>
      <c r="M64" s="4"/>
      <c r="N64" s="4"/>
      <c r="O64" s="4"/>
      <c r="P64" s="4">
        <v>900</v>
      </c>
      <c r="Q64" s="4"/>
      <c r="R64" s="4"/>
      <c r="S64" s="4"/>
    </row>
    <row r="65" spans="1:19" ht="36" x14ac:dyDescent="0.25">
      <c r="A65" s="27" t="s">
        <v>74</v>
      </c>
      <c r="B65" s="52">
        <v>2900</v>
      </c>
      <c r="C65" s="138" t="s">
        <v>183</v>
      </c>
      <c r="D65" s="120" t="s">
        <v>187</v>
      </c>
      <c r="E65" s="129" t="s">
        <v>161</v>
      </c>
      <c r="F65" s="27" t="s">
        <v>164</v>
      </c>
      <c r="G65" s="152" t="s">
        <v>173</v>
      </c>
      <c r="H65" s="151" t="s">
        <v>174</v>
      </c>
      <c r="I65" s="3"/>
      <c r="J65" s="4"/>
      <c r="K65" s="4"/>
      <c r="L65" s="4"/>
      <c r="M65" s="4"/>
      <c r="N65" s="4"/>
      <c r="O65" s="4"/>
      <c r="P65" s="4">
        <v>2900</v>
      </c>
      <c r="Q65" s="4"/>
      <c r="R65" s="4"/>
      <c r="S65" s="4"/>
    </row>
    <row r="66" spans="1:19" ht="36" x14ac:dyDescent="0.25">
      <c r="A66" s="27" t="s">
        <v>75</v>
      </c>
      <c r="B66" s="52">
        <v>2900</v>
      </c>
      <c r="C66" s="138" t="s">
        <v>183</v>
      </c>
      <c r="D66" s="120" t="s">
        <v>187</v>
      </c>
      <c r="E66" s="129" t="s">
        <v>161</v>
      </c>
      <c r="F66" s="27" t="s">
        <v>164</v>
      </c>
      <c r="G66" s="152" t="s">
        <v>173</v>
      </c>
      <c r="H66" s="151" t="s">
        <v>174</v>
      </c>
      <c r="I66" s="3"/>
      <c r="J66" s="4"/>
      <c r="K66" s="4"/>
      <c r="L66" s="4"/>
      <c r="M66" s="4"/>
      <c r="N66" s="4"/>
      <c r="O66" s="4"/>
      <c r="P66" s="4">
        <v>2900</v>
      </c>
      <c r="Q66" s="4"/>
      <c r="R66" s="4"/>
      <c r="S66" s="4"/>
    </row>
    <row r="67" spans="1:19" ht="36" x14ac:dyDescent="0.25">
      <c r="A67" s="27" t="s">
        <v>76</v>
      </c>
      <c r="B67" s="52">
        <v>2900</v>
      </c>
      <c r="C67" s="138" t="s">
        <v>183</v>
      </c>
      <c r="D67" s="120" t="s">
        <v>187</v>
      </c>
      <c r="E67" s="129" t="s">
        <v>161</v>
      </c>
      <c r="F67" s="27" t="s">
        <v>164</v>
      </c>
      <c r="G67" s="152" t="s">
        <v>173</v>
      </c>
      <c r="H67" s="151" t="s">
        <v>174</v>
      </c>
      <c r="I67" s="3"/>
      <c r="J67" s="4"/>
      <c r="K67" s="4"/>
      <c r="L67" s="4"/>
      <c r="M67" s="4"/>
      <c r="N67" s="4"/>
      <c r="O67" s="4"/>
      <c r="P67" s="4">
        <v>2900</v>
      </c>
      <c r="Q67" s="4"/>
      <c r="R67" s="4"/>
      <c r="S67" s="4"/>
    </row>
    <row r="68" spans="1:19" ht="36" x14ac:dyDescent="0.25">
      <c r="A68" s="27" t="s">
        <v>78</v>
      </c>
      <c r="B68" s="52">
        <v>900</v>
      </c>
      <c r="C68" s="138" t="s">
        <v>183</v>
      </c>
      <c r="D68" s="120" t="s">
        <v>187</v>
      </c>
      <c r="E68" s="129" t="s">
        <v>161</v>
      </c>
      <c r="F68" s="27" t="s">
        <v>164</v>
      </c>
      <c r="G68" s="152" t="s">
        <v>173</v>
      </c>
      <c r="H68" s="151" t="s">
        <v>174</v>
      </c>
      <c r="I68" s="3"/>
      <c r="J68" s="4"/>
      <c r="K68" s="4"/>
      <c r="L68" s="4"/>
      <c r="M68" s="4"/>
      <c r="N68" s="4">
        <v>900</v>
      </c>
      <c r="O68" s="4"/>
      <c r="P68" s="4"/>
      <c r="Q68" s="4"/>
      <c r="R68" s="4"/>
      <c r="S68" s="4"/>
    </row>
    <row r="69" spans="1:19" ht="36" x14ac:dyDescent="0.25">
      <c r="A69" s="27" t="s">
        <v>79</v>
      </c>
      <c r="B69" s="52">
        <f>5700+2000</f>
        <v>7700</v>
      </c>
      <c r="C69" s="138" t="s">
        <v>183</v>
      </c>
      <c r="D69" s="120" t="s">
        <v>187</v>
      </c>
      <c r="E69" s="129" t="s">
        <v>161</v>
      </c>
      <c r="F69" s="27" t="s">
        <v>164</v>
      </c>
      <c r="G69" s="152" t="s">
        <v>173</v>
      </c>
      <c r="H69" s="151" t="s">
        <v>174</v>
      </c>
      <c r="I69" s="3"/>
      <c r="J69" s="4">
        <v>2000</v>
      </c>
      <c r="K69" s="4"/>
      <c r="L69" s="4"/>
      <c r="M69" s="4"/>
      <c r="N69" s="4"/>
      <c r="O69" s="4"/>
      <c r="P69" s="4">
        <v>5700</v>
      </c>
      <c r="Q69" s="4"/>
      <c r="R69" s="4"/>
      <c r="S69" s="4"/>
    </row>
    <row r="70" spans="1:19" ht="36" x14ac:dyDescent="0.25">
      <c r="A70" s="27" t="s">
        <v>80</v>
      </c>
      <c r="B70" s="52">
        <v>2900</v>
      </c>
      <c r="C70" s="138" t="s">
        <v>183</v>
      </c>
      <c r="D70" s="120" t="s">
        <v>187</v>
      </c>
      <c r="E70" s="129" t="s">
        <v>161</v>
      </c>
      <c r="F70" s="27" t="s">
        <v>164</v>
      </c>
      <c r="G70" s="152" t="s">
        <v>173</v>
      </c>
      <c r="H70" s="151" t="s">
        <v>174</v>
      </c>
      <c r="I70" s="3"/>
      <c r="J70" s="4"/>
      <c r="K70" s="4"/>
      <c r="L70" s="4"/>
      <c r="M70" s="4"/>
      <c r="N70" s="4"/>
      <c r="O70" s="4"/>
      <c r="P70" s="4">
        <v>2900</v>
      </c>
      <c r="Q70" s="4"/>
      <c r="R70" s="4"/>
      <c r="S70" s="4"/>
    </row>
    <row r="71" spans="1:19" ht="36" x14ac:dyDescent="0.25">
      <c r="A71" s="27" t="s">
        <v>81</v>
      </c>
      <c r="B71" s="52">
        <v>5700</v>
      </c>
      <c r="C71" s="138" t="s">
        <v>183</v>
      </c>
      <c r="D71" s="120" t="s">
        <v>187</v>
      </c>
      <c r="E71" s="129" t="s">
        <v>161</v>
      </c>
      <c r="F71" s="27" t="s">
        <v>164</v>
      </c>
      <c r="G71" s="152" t="s">
        <v>173</v>
      </c>
      <c r="H71" s="151" t="s">
        <v>174</v>
      </c>
      <c r="I71" s="3"/>
      <c r="J71" s="4"/>
      <c r="K71" s="4"/>
      <c r="L71" s="4"/>
      <c r="M71" s="4"/>
      <c r="N71" s="4"/>
      <c r="O71" s="4"/>
      <c r="P71" s="4">
        <v>5700</v>
      </c>
      <c r="Q71" s="4"/>
      <c r="R71" s="4"/>
      <c r="S71" s="4"/>
    </row>
    <row r="72" spans="1:19" ht="36" x14ac:dyDescent="0.25">
      <c r="A72" s="27" t="s">
        <v>82</v>
      </c>
      <c r="B72" s="52">
        <v>14200</v>
      </c>
      <c r="C72" s="138" t="s">
        <v>183</v>
      </c>
      <c r="D72" s="120" t="s">
        <v>187</v>
      </c>
      <c r="E72" s="129" t="s">
        <v>161</v>
      </c>
      <c r="F72" s="27" t="s">
        <v>164</v>
      </c>
      <c r="G72" s="152" t="s">
        <v>173</v>
      </c>
      <c r="H72" s="151" t="s">
        <v>174</v>
      </c>
      <c r="I72" s="3"/>
      <c r="J72" s="4"/>
      <c r="K72" s="4"/>
      <c r="L72" s="4"/>
      <c r="M72" s="4"/>
      <c r="N72" s="4"/>
      <c r="O72" s="4"/>
      <c r="P72" s="4">
        <v>14200</v>
      </c>
      <c r="Q72" s="4"/>
      <c r="R72" s="4"/>
      <c r="S72" s="4"/>
    </row>
    <row r="73" spans="1:19" ht="36" x14ac:dyDescent="0.25">
      <c r="A73" s="27" t="s">
        <v>83</v>
      </c>
      <c r="B73" s="52">
        <v>5700</v>
      </c>
      <c r="C73" s="138" t="s">
        <v>183</v>
      </c>
      <c r="D73" s="120" t="s">
        <v>187</v>
      </c>
      <c r="E73" s="129" t="s">
        <v>161</v>
      </c>
      <c r="F73" s="27" t="s">
        <v>164</v>
      </c>
      <c r="G73" s="152" t="s">
        <v>173</v>
      </c>
      <c r="H73" s="151" t="s">
        <v>174</v>
      </c>
      <c r="I73" s="3"/>
      <c r="J73" s="4"/>
      <c r="K73" s="4"/>
      <c r="L73" s="4"/>
      <c r="M73" s="4"/>
      <c r="N73" s="4"/>
      <c r="O73" s="4"/>
      <c r="P73" s="4">
        <v>5700</v>
      </c>
      <c r="Q73" s="4"/>
      <c r="R73" s="4"/>
      <c r="S73" s="4"/>
    </row>
    <row r="74" spans="1:19" ht="36" x14ac:dyDescent="0.25">
      <c r="A74" s="27" t="s">
        <v>84</v>
      </c>
      <c r="B74" s="52">
        <v>23000</v>
      </c>
      <c r="C74" s="138" t="s">
        <v>183</v>
      </c>
      <c r="D74" s="120" t="s">
        <v>187</v>
      </c>
      <c r="E74" s="129" t="s">
        <v>161</v>
      </c>
      <c r="F74" s="27" t="s">
        <v>164</v>
      </c>
      <c r="G74" s="152" t="s">
        <v>173</v>
      </c>
      <c r="H74" s="151" t="s">
        <v>174</v>
      </c>
      <c r="I74" s="3"/>
      <c r="J74" s="4">
        <v>23000</v>
      </c>
      <c r="K74" s="4"/>
      <c r="L74" s="4"/>
      <c r="M74" s="4"/>
      <c r="N74" s="4"/>
      <c r="O74" s="4"/>
      <c r="P74" s="4"/>
      <c r="Q74" s="4"/>
      <c r="R74" s="4"/>
      <c r="S74" s="4"/>
    </row>
    <row r="75" spans="1:19" ht="36" x14ac:dyDescent="0.25">
      <c r="A75" s="27" t="s">
        <v>85</v>
      </c>
      <c r="B75" s="52">
        <v>29000</v>
      </c>
      <c r="C75" s="138" t="s">
        <v>183</v>
      </c>
      <c r="D75" s="120" t="s">
        <v>187</v>
      </c>
      <c r="E75" s="129" t="s">
        <v>161</v>
      </c>
      <c r="F75" s="27" t="s">
        <v>164</v>
      </c>
      <c r="G75" s="152" t="s">
        <v>173</v>
      </c>
      <c r="H75" s="151" t="s">
        <v>174</v>
      </c>
      <c r="I75" s="3"/>
      <c r="J75" s="4">
        <v>29000</v>
      </c>
      <c r="K75" s="4"/>
      <c r="L75" s="4"/>
      <c r="M75" s="4"/>
      <c r="N75" s="4"/>
      <c r="O75" s="4"/>
      <c r="P75" s="4"/>
      <c r="Q75" s="4"/>
      <c r="R75" s="4"/>
      <c r="S75" s="4"/>
    </row>
    <row r="76" spans="1:19" ht="36" x14ac:dyDescent="0.25">
      <c r="A76" s="27" t="s">
        <v>86</v>
      </c>
      <c r="B76" s="52">
        <v>60000</v>
      </c>
      <c r="C76" s="138" t="s">
        <v>183</v>
      </c>
      <c r="D76" s="120" t="s">
        <v>187</v>
      </c>
      <c r="E76" s="129" t="s">
        <v>161</v>
      </c>
      <c r="F76" s="27" t="s">
        <v>164</v>
      </c>
      <c r="G76" s="152" t="s">
        <v>173</v>
      </c>
      <c r="H76" s="151" t="s">
        <v>174</v>
      </c>
      <c r="I76" s="3"/>
      <c r="J76" s="4">
        <v>60000</v>
      </c>
      <c r="K76" s="4"/>
      <c r="L76" s="4"/>
      <c r="M76" s="4"/>
      <c r="N76" s="4"/>
      <c r="O76" s="4"/>
      <c r="P76" s="4"/>
      <c r="Q76" s="4"/>
      <c r="R76" s="4"/>
      <c r="S76" s="4"/>
    </row>
    <row r="77" spans="1:19" ht="36" x14ac:dyDescent="0.25">
      <c r="A77" s="27" t="s">
        <v>87</v>
      </c>
      <c r="B77" s="52">
        <v>14300</v>
      </c>
      <c r="C77" s="138" t="s">
        <v>183</v>
      </c>
      <c r="D77" s="120" t="s">
        <v>187</v>
      </c>
      <c r="E77" s="129" t="s">
        <v>161</v>
      </c>
      <c r="F77" s="27" t="s">
        <v>164</v>
      </c>
      <c r="G77" s="152" t="s">
        <v>173</v>
      </c>
      <c r="H77" s="151" t="s">
        <v>174</v>
      </c>
      <c r="I77" s="3"/>
      <c r="J77" s="4"/>
      <c r="K77" s="4">
        <v>14300</v>
      </c>
      <c r="L77" s="4"/>
      <c r="M77" s="4"/>
      <c r="N77" s="4"/>
      <c r="O77" s="4"/>
      <c r="P77" s="23"/>
      <c r="Q77" s="4"/>
      <c r="R77" s="4"/>
      <c r="S77" s="4"/>
    </row>
    <row r="78" spans="1:19" ht="36" x14ac:dyDescent="0.25">
      <c r="A78" s="27" t="s">
        <v>88</v>
      </c>
      <c r="B78" s="52">
        <v>90000</v>
      </c>
      <c r="C78" s="138" t="s">
        <v>183</v>
      </c>
      <c r="D78" s="120" t="s">
        <v>187</v>
      </c>
      <c r="E78" s="129" t="s">
        <v>161</v>
      </c>
      <c r="F78" s="27" t="s">
        <v>164</v>
      </c>
      <c r="G78" s="152" t="s">
        <v>173</v>
      </c>
      <c r="H78" s="151" t="s">
        <v>174</v>
      </c>
      <c r="I78" s="3"/>
      <c r="J78" s="4"/>
      <c r="K78" s="4"/>
      <c r="L78" s="4"/>
      <c r="M78" s="4"/>
      <c r="N78" s="4"/>
      <c r="O78" s="4"/>
      <c r="P78" s="4">
        <v>90000</v>
      </c>
      <c r="Q78" s="4"/>
      <c r="R78" s="4"/>
      <c r="S78" s="4"/>
    </row>
    <row r="79" spans="1:19" ht="36" x14ac:dyDescent="0.25">
      <c r="A79" s="27" t="s">
        <v>89</v>
      </c>
      <c r="B79" s="52">
        <v>12000</v>
      </c>
      <c r="C79" s="138" t="s">
        <v>183</v>
      </c>
      <c r="D79" s="120" t="s">
        <v>187</v>
      </c>
      <c r="E79" s="129" t="s">
        <v>161</v>
      </c>
      <c r="F79" s="27" t="s">
        <v>164</v>
      </c>
      <c r="G79" s="152" t="s">
        <v>173</v>
      </c>
      <c r="H79" s="151" t="s">
        <v>174</v>
      </c>
      <c r="I79" s="3"/>
      <c r="J79" s="4"/>
      <c r="K79" s="4"/>
      <c r="L79" s="4"/>
      <c r="M79" s="4"/>
      <c r="N79" s="4"/>
      <c r="O79" s="4"/>
      <c r="P79" s="4">
        <v>12000</v>
      </c>
      <c r="Q79" s="4"/>
      <c r="R79" s="4"/>
      <c r="S79" s="4"/>
    </row>
    <row r="80" spans="1:19" ht="36" x14ac:dyDescent="0.25">
      <c r="A80" s="27" t="s">
        <v>90</v>
      </c>
      <c r="B80" s="52">
        <v>22000</v>
      </c>
      <c r="C80" s="138" t="s">
        <v>183</v>
      </c>
      <c r="D80" s="120" t="s">
        <v>187</v>
      </c>
      <c r="E80" s="129" t="s">
        <v>161</v>
      </c>
      <c r="F80" s="27" t="s">
        <v>164</v>
      </c>
      <c r="G80" s="152" t="s">
        <v>173</v>
      </c>
      <c r="H80" s="151" t="s">
        <v>174</v>
      </c>
      <c r="I80" s="3"/>
      <c r="J80" s="4"/>
      <c r="K80" s="4"/>
      <c r="L80" s="4"/>
      <c r="M80" s="4"/>
      <c r="N80" s="4"/>
      <c r="O80" s="4"/>
      <c r="P80" s="4">
        <v>22000</v>
      </c>
      <c r="Q80" s="4"/>
      <c r="R80" s="4"/>
      <c r="S80" s="4"/>
    </row>
    <row r="81" spans="1:19" ht="36" x14ac:dyDescent="0.25">
      <c r="A81" s="27" t="s">
        <v>91</v>
      </c>
      <c r="B81" s="52">
        <v>12000</v>
      </c>
      <c r="C81" s="138" t="s">
        <v>183</v>
      </c>
      <c r="D81" s="120" t="s">
        <v>187</v>
      </c>
      <c r="E81" s="129" t="s">
        <v>161</v>
      </c>
      <c r="F81" s="27" t="s">
        <v>164</v>
      </c>
      <c r="G81" s="152" t="s">
        <v>173</v>
      </c>
      <c r="H81" s="151" t="s">
        <v>174</v>
      </c>
      <c r="I81" s="3"/>
      <c r="J81" s="4"/>
      <c r="K81" s="4"/>
      <c r="L81" s="4"/>
      <c r="M81" s="4"/>
      <c r="N81" s="4"/>
      <c r="O81" s="4"/>
      <c r="P81" s="4">
        <v>12000</v>
      </c>
      <c r="Q81" s="4"/>
      <c r="R81" s="4"/>
      <c r="S81" s="4"/>
    </row>
    <row r="82" spans="1:19" ht="36" x14ac:dyDescent="0.25">
      <c r="A82" s="27" t="s">
        <v>92</v>
      </c>
      <c r="B82" s="52">
        <f>22000+22000</f>
        <v>44000</v>
      </c>
      <c r="C82" s="138" t="s">
        <v>183</v>
      </c>
      <c r="D82" s="120" t="s">
        <v>187</v>
      </c>
      <c r="E82" s="129" t="s">
        <v>161</v>
      </c>
      <c r="F82" s="27" t="s">
        <v>164</v>
      </c>
      <c r="G82" s="152" t="s">
        <v>173</v>
      </c>
      <c r="H82" s="151" t="s">
        <v>174</v>
      </c>
      <c r="I82" s="3"/>
      <c r="J82" s="4">
        <v>22000</v>
      </c>
      <c r="K82" s="4"/>
      <c r="L82" s="4"/>
      <c r="M82" s="4"/>
      <c r="N82" s="4"/>
      <c r="O82" s="4"/>
      <c r="P82" s="4">
        <v>22000</v>
      </c>
      <c r="Q82" s="4"/>
      <c r="R82" s="4"/>
      <c r="S82" s="4"/>
    </row>
    <row r="83" spans="1:19" ht="36" x14ac:dyDescent="0.25">
      <c r="A83" s="27" t="s">
        <v>93</v>
      </c>
      <c r="B83" s="52">
        <v>12000</v>
      </c>
      <c r="C83" s="138" t="s">
        <v>183</v>
      </c>
      <c r="D83" s="120" t="s">
        <v>187</v>
      </c>
      <c r="E83" s="129" t="s">
        <v>161</v>
      </c>
      <c r="F83" s="27" t="s">
        <v>164</v>
      </c>
      <c r="G83" s="152" t="s">
        <v>173</v>
      </c>
      <c r="H83" s="151" t="s">
        <v>174</v>
      </c>
      <c r="I83" s="3"/>
      <c r="J83" s="4"/>
      <c r="K83" s="4"/>
      <c r="L83" s="4"/>
      <c r="M83" s="4"/>
      <c r="N83" s="4"/>
      <c r="O83" s="4"/>
      <c r="P83" s="4">
        <v>12000</v>
      </c>
      <c r="Q83" s="4"/>
      <c r="R83" s="4"/>
      <c r="S83" s="4"/>
    </row>
    <row r="84" spans="1:19" ht="36" x14ac:dyDescent="0.25">
      <c r="A84" s="27" t="s">
        <v>94</v>
      </c>
      <c r="B84" s="52">
        <v>12000</v>
      </c>
      <c r="C84" s="138" t="s">
        <v>183</v>
      </c>
      <c r="D84" s="120" t="s">
        <v>187</v>
      </c>
      <c r="E84" s="129" t="s">
        <v>161</v>
      </c>
      <c r="F84" s="27" t="s">
        <v>164</v>
      </c>
      <c r="G84" s="152" t="s">
        <v>173</v>
      </c>
      <c r="H84" s="151" t="s">
        <v>174</v>
      </c>
      <c r="I84" s="3"/>
      <c r="J84" s="4"/>
      <c r="K84" s="4"/>
      <c r="L84" s="4"/>
      <c r="M84" s="4"/>
      <c r="N84" s="4"/>
      <c r="O84" s="4"/>
      <c r="P84" s="4">
        <v>12000</v>
      </c>
      <c r="Q84" s="4"/>
      <c r="R84" s="4"/>
      <c r="S84" s="4"/>
    </row>
    <row r="85" spans="1:19" ht="36" x14ac:dyDescent="0.25">
      <c r="A85" s="27" t="s">
        <v>95</v>
      </c>
      <c r="B85" s="52">
        <v>12000</v>
      </c>
      <c r="C85" s="138" t="s">
        <v>183</v>
      </c>
      <c r="D85" s="120" t="s">
        <v>187</v>
      </c>
      <c r="E85" s="129" t="s">
        <v>161</v>
      </c>
      <c r="F85" s="27" t="s">
        <v>164</v>
      </c>
      <c r="G85" s="152" t="s">
        <v>173</v>
      </c>
      <c r="H85" s="151" t="s">
        <v>174</v>
      </c>
      <c r="I85" s="3"/>
      <c r="J85" s="4"/>
      <c r="K85" s="4"/>
      <c r="L85" s="4"/>
      <c r="M85" s="4"/>
      <c r="N85" s="4"/>
      <c r="O85" s="4"/>
      <c r="P85" s="4">
        <v>12000</v>
      </c>
      <c r="Q85" s="4"/>
      <c r="R85" s="4"/>
      <c r="S85" s="4"/>
    </row>
    <row r="86" spans="1:19" ht="54.75" thickBot="1" x14ac:dyDescent="0.3">
      <c r="A86" s="50" t="s">
        <v>96</v>
      </c>
      <c r="B86" s="156">
        <v>14500</v>
      </c>
      <c r="C86" s="138" t="s">
        <v>183</v>
      </c>
      <c r="D86" s="120" t="s">
        <v>187</v>
      </c>
      <c r="E86" s="129" t="s">
        <v>161</v>
      </c>
      <c r="F86" s="27" t="s">
        <v>164</v>
      </c>
      <c r="G86" s="152" t="s">
        <v>173</v>
      </c>
      <c r="H86" s="151" t="s">
        <v>174</v>
      </c>
      <c r="I86" s="3"/>
      <c r="J86" s="4"/>
      <c r="K86" s="4"/>
      <c r="L86" s="4"/>
      <c r="M86" s="4"/>
      <c r="N86" s="4"/>
      <c r="O86" s="4"/>
      <c r="P86" s="4">
        <v>14500</v>
      </c>
      <c r="Q86" s="4"/>
      <c r="R86" s="4"/>
      <c r="S86" s="4"/>
    </row>
  </sheetData>
  <autoFilter ref="A2:S86"/>
  <mergeCells count="2">
    <mergeCell ref="A1:H1"/>
    <mergeCell ref="I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workbookViewId="0">
      <selection activeCell="C22" sqref="C22"/>
    </sheetView>
  </sheetViews>
  <sheetFormatPr defaultRowHeight="15" x14ac:dyDescent="0.25"/>
  <cols>
    <col min="1" max="1" width="42.85546875" customWidth="1"/>
    <col min="2" max="2" width="31.85546875" customWidth="1"/>
    <col min="3" max="3" width="23.28515625" style="102" customWidth="1"/>
    <col min="4" max="4" width="27.85546875" style="102" customWidth="1"/>
    <col min="5" max="33" width="17.7109375" customWidth="1"/>
  </cols>
  <sheetData>
    <row r="1" spans="1:33" ht="26.25" thickBot="1" x14ac:dyDescent="0.3">
      <c r="A1" s="165" t="s">
        <v>20</v>
      </c>
      <c r="B1" s="167"/>
      <c r="C1" s="101"/>
      <c r="D1" s="101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4"/>
    </row>
    <row r="2" spans="1:33" ht="41.25" thickBot="1" x14ac:dyDescent="0.3">
      <c r="A2" s="70" t="s">
        <v>0</v>
      </c>
      <c r="B2" s="75" t="s">
        <v>1</v>
      </c>
      <c r="C2" s="98" t="s">
        <v>133</v>
      </c>
      <c r="D2" s="97" t="s">
        <v>134</v>
      </c>
      <c r="E2" s="74">
        <v>46225</v>
      </c>
      <c r="F2" s="74">
        <v>46230</v>
      </c>
      <c r="G2" s="74">
        <v>46235</v>
      </c>
      <c r="H2" s="74">
        <v>46239</v>
      </c>
      <c r="I2" s="74">
        <v>46240</v>
      </c>
      <c r="J2" s="74">
        <v>46245</v>
      </c>
      <c r="K2" s="74">
        <v>46249</v>
      </c>
      <c r="L2" s="74">
        <v>46251</v>
      </c>
      <c r="M2" s="74">
        <v>46257</v>
      </c>
      <c r="N2" s="74">
        <v>46258</v>
      </c>
      <c r="O2" s="74">
        <v>46260</v>
      </c>
      <c r="P2" s="74">
        <v>46268</v>
      </c>
      <c r="Q2" s="74">
        <v>46270</v>
      </c>
      <c r="R2" s="74">
        <v>46272</v>
      </c>
      <c r="S2" s="74">
        <v>46278</v>
      </c>
      <c r="T2" s="74">
        <v>46280</v>
      </c>
      <c r="U2" s="74">
        <v>46287</v>
      </c>
      <c r="V2" s="74">
        <v>46290</v>
      </c>
      <c r="W2" s="74">
        <v>46298</v>
      </c>
      <c r="X2" s="74">
        <v>46302</v>
      </c>
      <c r="Y2" s="74">
        <v>46308</v>
      </c>
      <c r="Z2" s="74">
        <v>46312</v>
      </c>
      <c r="AA2" s="74">
        <v>46318</v>
      </c>
      <c r="AB2" s="74">
        <v>46328</v>
      </c>
      <c r="AC2" s="74">
        <v>46338</v>
      </c>
      <c r="AD2" s="74">
        <v>46348</v>
      </c>
      <c r="AE2" s="74">
        <v>46358</v>
      </c>
      <c r="AF2" s="74">
        <v>46368</v>
      </c>
      <c r="AG2" s="75">
        <v>46378</v>
      </c>
    </row>
    <row r="3" spans="1:33" ht="54" x14ac:dyDescent="0.25">
      <c r="A3" s="54" t="s">
        <v>2</v>
      </c>
      <c r="B3" s="55">
        <v>80000</v>
      </c>
      <c r="C3" s="99" t="s">
        <v>135</v>
      </c>
      <c r="D3" s="100" t="s">
        <v>136</v>
      </c>
      <c r="E3" s="96"/>
      <c r="F3" s="59"/>
      <c r="G3" s="58"/>
      <c r="H3" s="58"/>
      <c r="I3" s="58"/>
      <c r="J3" s="96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68"/>
    </row>
    <row r="4" spans="1:33" ht="54" x14ac:dyDescent="0.25">
      <c r="A4" s="27" t="s">
        <v>3</v>
      </c>
      <c r="B4" s="30">
        <v>80000</v>
      </c>
      <c r="C4" s="99" t="s">
        <v>137</v>
      </c>
      <c r="D4" s="100" t="s">
        <v>138</v>
      </c>
      <c r="E4" s="3"/>
      <c r="F4" s="12"/>
      <c r="G4" s="12"/>
      <c r="H4" s="12"/>
      <c r="I4" s="12"/>
      <c r="J4" s="14"/>
      <c r="K4" s="12"/>
      <c r="L4" s="12"/>
      <c r="M4" s="12"/>
      <c r="N4" s="12"/>
      <c r="O4" s="12"/>
      <c r="P4" s="12"/>
      <c r="Q4" s="12"/>
      <c r="R4" s="12"/>
      <c r="S4" s="16"/>
      <c r="T4" s="9"/>
      <c r="U4" s="9"/>
      <c r="V4" s="9"/>
      <c r="W4" s="9"/>
      <c r="X4" s="9"/>
      <c r="Y4" s="9"/>
      <c r="Z4" s="9"/>
      <c r="AA4" s="12"/>
      <c r="AB4" s="12"/>
      <c r="AC4" s="12"/>
      <c r="AD4" s="12"/>
      <c r="AE4" s="12"/>
      <c r="AF4" s="12"/>
      <c r="AG4" s="15"/>
    </row>
    <row r="5" spans="1:33" ht="90" x14ac:dyDescent="0.25">
      <c r="A5" s="27" t="s">
        <v>4</v>
      </c>
      <c r="B5" s="30">
        <v>80000</v>
      </c>
      <c r="C5" s="99" t="s">
        <v>140</v>
      </c>
      <c r="D5" s="100" t="s">
        <v>138</v>
      </c>
      <c r="E5" s="3"/>
      <c r="F5" s="4"/>
      <c r="G5" s="4"/>
      <c r="H5" s="4"/>
      <c r="I5" s="4"/>
      <c r="J5" s="3"/>
      <c r="K5" s="4"/>
      <c r="L5" s="4"/>
      <c r="M5" s="4"/>
      <c r="N5" s="4"/>
      <c r="O5" s="37"/>
      <c r="P5" s="4"/>
      <c r="Q5" s="4"/>
      <c r="R5" s="37"/>
      <c r="S5" s="4"/>
      <c r="T5" s="4"/>
      <c r="U5" s="37"/>
      <c r="V5" s="37"/>
      <c r="W5" s="4"/>
      <c r="X5" s="4"/>
      <c r="Y5" s="37"/>
      <c r="Z5" s="37"/>
      <c r="AA5" s="4"/>
      <c r="AB5" s="4"/>
      <c r="AC5" s="4"/>
      <c r="AD5" s="4"/>
      <c r="AE5" s="4"/>
      <c r="AF5" s="4"/>
      <c r="AG5" s="8"/>
    </row>
    <row r="6" spans="1:33" ht="90" x14ac:dyDescent="0.25">
      <c r="A6" s="27" t="s">
        <v>5</v>
      </c>
      <c r="B6" s="30">
        <v>80000</v>
      </c>
      <c r="C6" s="99" t="s">
        <v>139</v>
      </c>
      <c r="D6" s="100" t="s">
        <v>138</v>
      </c>
      <c r="E6" s="3"/>
      <c r="F6" s="12"/>
      <c r="G6" s="12"/>
      <c r="H6" s="12"/>
      <c r="I6" s="12"/>
      <c r="J6" s="14"/>
      <c r="K6" s="12"/>
      <c r="L6" s="12"/>
      <c r="M6" s="12"/>
      <c r="N6" s="12"/>
      <c r="O6" s="9"/>
      <c r="P6" s="9"/>
      <c r="Q6" s="9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5"/>
    </row>
    <row r="7" spans="1:33" ht="108" x14ac:dyDescent="0.25">
      <c r="A7" s="27" t="s">
        <v>6</v>
      </c>
      <c r="B7" s="30">
        <v>40000</v>
      </c>
      <c r="C7" s="99" t="s">
        <v>141</v>
      </c>
      <c r="D7" s="100" t="s">
        <v>138</v>
      </c>
      <c r="E7" s="3"/>
      <c r="F7" s="4"/>
      <c r="G7" s="4"/>
      <c r="H7" s="4"/>
      <c r="I7" s="4"/>
      <c r="J7" s="3"/>
      <c r="K7" s="4"/>
      <c r="L7" s="4"/>
      <c r="M7" s="4"/>
      <c r="N7" s="4"/>
      <c r="O7" s="9"/>
      <c r="P7" s="9"/>
      <c r="Q7" s="9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5"/>
    </row>
    <row r="8" spans="1:33" ht="108" x14ac:dyDescent="0.25">
      <c r="A8" s="27" t="s">
        <v>7</v>
      </c>
      <c r="B8" s="30">
        <v>40000</v>
      </c>
      <c r="C8" s="99" t="s">
        <v>142</v>
      </c>
      <c r="D8" s="100" t="s">
        <v>138</v>
      </c>
      <c r="E8" s="3"/>
      <c r="F8" s="4"/>
      <c r="G8" s="4"/>
      <c r="H8" s="4"/>
      <c r="I8" s="4"/>
      <c r="J8" s="4"/>
      <c r="K8" s="4"/>
      <c r="L8" s="4"/>
      <c r="M8" s="4"/>
      <c r="N8" s="4"/>
      <c r="O8" s="12"/>
      <c r="P8" s="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5"/>
    </row>
    <row r="9" spans="1:33" ht="54" x14ac:dyDescent="0.25">
      <c r="A9" s="27" t="s">
        <v>8</v>
      </c>
      <c r="B9" s="30">
        <v>80000</v>
      </c>
      <c r="C9" s="99" t="s">
        <v>143</v>
      </c>
      <c r="D9" s="100" t="s">
        <v>138</v>
      </c>
      <c r="E9" s="1"/>
      <c r="F9" s="12"/>
      <c r="G9" s="12"/>
      <c r="H9" s="12"/>
      <c r="I9" s="12"/>
      <c r="J9" s="14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5"/>
    </row>
    <row r="10" spans="1:33" ht="54" x14ac:dyDescent="0.25">
      <c r="A10" s="41" t="s">
        <v>10</v>
      </c>
      <c r="B10" s="30">
        <v>80000</v>
      </c>
      <c r="C10" s="99" t="s">
        <v>144</v>
      </c>
      <c r="D10" s="100" t="s">
        <v>145</v>
      </c>
      <c r="E10" s="14"/>
      <c r="F10" s="12"/>
      <c r="G10" s="12"/>
      <c r="H10" s="12"/>
      <c r="I10" s="12"/>
      <c r="J10" s="14"/>
      <c r="K10" s="12"/>
      <c r="L10" s="12"/>
      <c r="M10" s="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5"/>
    </row>
    <row r="11" spans="1:33" ht="90" x14ac:dyDescent="0.25">
      <c r="A11" s="27" t="s">
        <v>11</v>
      </c>
      <c r="B11" s="30">
        <v>160000</v>
      </c>
      <c r="C11" s="99" t="s">
        <v>146</v>
      </c>
      <c r="D11" s="100" t="s">
        <v>138</v>
      </c>
      <c r="E11" s="14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"/>
      <c r="Y11" s="12"/>
      <c r="Z11" s="12"/>
      <c r="AA11" s="12"/>
      <c r="AB11" s="12"/>
      <c r="AC11" s="12"/>
      <c r="AD11" s="12"/>
      <c r="AE11" s="12"/>
      <c r="AF11" s="12"/>
      <c r="AG11" s="15"/>
    </row>
    <row r="12" spans="1:33" ht="54" x14ac:dyDescent="0.25">
      <c r="A12" s="27" t="s">
        <v>12</v>
      </c>
      <c r="B12" s="30">
        <v>80000</v>
      </c>
      <c r="C12" s="99" t="s">
        <v>147</v>
      </c>
      <c r="D12" s="100" t="s">
        <v>138</v>
      </c>
      <c r="E12" s="14"/>
      <c r="F12" s="12"/>
      <c r="G12" s="12"/>
      <c r="H12" s="12"/>
      <c r="I12" s="12"/>
      <c r="J12" s="14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5"/>
    </row>
    <row r="13" spans="1:33" ht="54" x14ac:dyDescent="0.25">
      <c r="A13" s="27" t="s">
        <v>13</v>
      </c>
      <c r="B13" s="30">
        <v>80000</v>
      </c>
      <c r="C13" s="99" t="s">
        <v>147</v>
      </c>
      <c r="D13" s="100" t="s">
        <v>138</v>
      </c>
      <c r="E13" s="14"/>
      <c r="F13" s="12"/>
      <c r="G13" s="12"/>
      <c r="H13" s="12"/>
      <c r="I13" s="12"/>
      <c r="J13" s="14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5"/>
    </row>
    <row r="14" spans="1:33" ht="54" x14ac:dyDescent="0.25">
      <c r="A14" s="27" t="s">
        <v>14</v>
      </c>
      <c r="B14" s="30">
        <v>80000</v>
      </c>
      <c r="C14" s="99" t="s">
        <v>147</v>
      </c>
      <c r="D14" s="100" t="s">
        <v>138</v>
      </c>
      <c r="E14" s="14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5"/>
    </row>
    <row r="15" spans="1:33" ht="54" x14ac:dyDescent="0.25">
      <c r="A15" s="27" t="s">
        <v>15</v>
      </c>
      <c r="B15" s="30">
        <v>80000</v>
      </c>
      <c r="C15" s="99" t="s">
        <v>147</v>
      </c>
      <c r="D15" s="100" t="s">
        <v>138</v>
      </c>
      <c r="E15" s="14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5"/>
    </row>
    <row r="16" spans="1:33" ht="54" x14ac:dyDescent="0.25">
      <c r="A16" s="28" t="s">
        <v>16</v>
      </c>
      <c r="B16" s="30">
        <v>80000</v>
      </c>
      <c r="C16" s="99" t="s">
        <v>147</v>
      </c>
      <c r="D16" s="100" t="s">
        <v>138</v>
      </c>
      <c r="E16" s="14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5"/>
    </row>
    <row r="17" spans="1:33" ht="72" x14ac:dyDescent="0.25">
      <c r="A17" s="28" t="s">
        <v>17</v>
      </c>
      <c r="B17" s="30">
        <v>40000</v>
      </c>
      <c r="C17" s="99" t="s">
        <v>147</v>
      </c>
      <c r="D17" s="100" t="s">
        <v>138</v>
      </c>
      <c r="E17" s="14"/>
      <c r="F17" s="12"/>
      <c r="G17" s="12"/>
      <c r="H17" s="12"/>
      <c r="I17" s="12"/>
      <c r="J17" s="1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5"/>
    </row>
    <row r="18" spans="1:33" ht="54" x14ac:dyDescent="0.25">
      <c r="A18" s="28" t="s">
        <v>18</v>
      </c>
      <c r="B18" s="30">
        <v>80000</v>
      </c>
      <c r="C18" s="99" t="s">
        <v>147</v>
      </c>
      <c r="D18" s="100" t="s">
        <v>138</v>
      </c>
      <c r="E18" s="3"/>
      <c r="F18" s="4"/>
      <c r="G18" s="4"/>
      <c r="H18" s="4"/>
      <c r="I18" s="12"/>
      <c r="J18" s="1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5"/>
    </row>
    <row r="19" spans="1:33" ht="54.75" thickBot="1" x14ac:dyDescent="0.3">
      <c r="A19" s="29" t="s">
        <v>19</v>
      </c>
      <c r="B19" s="31">
        <v>160000</v>
      </c>
      <c r="C19" s="103" t="s">
        <v>147</v>
      </c>
      <c r="D19" s="104" t="s">
        <v>138</v>
      </c>
      <c r="E19" s="10"/>
      <c r="F19" s="1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/>
    </row>
  </sheetData>
  <mergeCells count="2">
    <mergeCell ref="A1:B1"/>
    <mergeCell ref="E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СС</vt:lpstr>
      <vt:lpstr> СИ, СТ</vt:lpstr>
      <vt:lpstr>СР, СРМ</vt:lpstr>
      <vt:lpstr>НСУ2.1</vt:lpstr>
      <vt:lpstr>Доп заказ на СС (80 000)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2026-08-04T06:00:47Z</dcterms:modified>
</cp:coreProperties>
</file>