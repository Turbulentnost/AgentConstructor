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192.168.1.198\Files\22.Служба развития\1. Для общего доступа\Авион\test\"/>
    </mc:Choice>
  </mc:AlternateContent>
  <bookViews>
    <workbookView xWindow="0" yWindow="0" windowWidth="24000" windowHeight="141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" i="1" l="1"/>
  <c r="AG28" i="1" l="1"/>
  <c r="AI15" i="1"/>
  <c r="AI14" i="1"/>
  <c r="AI13" i="1"/>
  <c r="AI12" i="1"/>
  <c r="AI11" i="1"/>
  <c r="AI10" i="1"/>
  <c r="AI8" i="1"/>
  <c r="AI7" i="1"/>
  <c r="AI6" i="1"/>
  <c r="AI5" i="1"/>
  <c r="AI4" i="1"/>
  <c r="AI9" i="1"/>
  <c r="AI28" i="1" l="1"/>
  <c r="AJ28" i="1" l="1"/>
  <c r="W15" i="1"/>
  <c r="W14" i="1"/>
  <c r="W13" i="1"/>
  <c r="W12" i="1"/>
  <c r="W11" i="1"/>
  <c r="W10" i="1"/>
  <c r="W8" i="1"/>
  <c r="W7" i="1"/>
  <c r="W6" i="1"/>
  <c r="W5" i="1"/>
  <c r="W4" i="1"/>
  <c r="W9" i="1"/>
  <c r="V13" i="1" l="1"/>
  <c r="AF28" i="1"/>
  <c r="AE28" i="1"/>
  <c r="AD28" i="1"/>
  <c r="AC28" i="1"/>
  <c r="AB28" i="1"/>
  <c r="AA28" i="1"/>
  <c r="Z28" i="1"/>
  <c r="Y28" i="1"/>
  <c r="X28" i="1"/>
  <c r="W28" i="1"/>
  <c r="U28" i="1"/>
  <c r="T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AH13" i="1"/>
  <c r="V4" i="1" l="1"/>
  <c r="AH4" i="1" s="1"/>
  <c r="V5" i="1"/>
  <c r="AH5" i="1" s="1"/>
  <c r="V6" i="1"/>
  <c r="V14" i="1"/>
  <c r="AH14" i="1" s="1"/>
  <c r="V15" i="1"/>
  <c r="AH15" i="1" s="1"/>
  <c r="V11" i="1"/>
  <c r="AH11" i="1" s="1"/>
  <c r="V12" i="1"/>
  <c r="AH12" i="1" s="1"/>
  <c r="V10" i="1"/>
  <c r="AH10" i="1" s="1"/>
  <c r="V9" i="1"/>
  <c r="AH9" i="1" s="1"/>
  <c r="V8" i="1"/>
  <c r="AH8" i="1" s="1"/>
  <c r="V7" i="1"/>
  <c r="AH7" i="1" s="1"/>
  <c r="AL11" i="1"/>
  <c r="AL7" i="1"/>
  <c r="AL8" i="1"/>
  <c r="AL9" i="1"/>
  <c r="AL10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6" i="1"/>
  <c r="AL5" i="1"/>
  <c r="AL4" i="1"/>
  <c r="AK6" i="1"/>
  <c r="AK9" i="1"/>
  <c r="AK7" i="1"/>
  <c r="AK8" i="1"/>
  <c r="AK10" i="1"/>
  <c r="AK11" i="1"/>
  <c r="AK13" i="1"/>
  <c r="AK14" i="1"/>
  <c r="AK15" i="1"/>
  <c r="AK28" i="1" s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4" i="1"/>
  <c r="AK5" i="1"/>
  <c r="V28" i="1" l="1"/>
  <c r="AH6" i="1"/>
  <c r="AH28" i="1" s="1"/>
  <c r="AL28" i="1"/>
  <c r="AM12" i="1"/>
  <c r="AM5" i="1" l="1"/>
  <c r="AM6" i="1"/>
  <c r="AM7" i="1"/>
  <c r="AM8" i="1"/>
  <c r="AM14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4" i="1"/>
  <c r="AM9" i="1"/>
  <c r="AM10" i="1"/>
  <c r="AM11" i="1"/>
  <c r="AM13" i="1"/>
  <c r="AM15" i="1"/>
  <c r="AM28" i="1" l="1"/>
</calcChain>
</file>

<file path=xl/sharedStrings.xml><?xml version="1.0" encoding="utf-8"?>
<sst xmlns="http://schemas.openxmlformats.org/spreadsheetml/2006/main" count="76" uniqueCount="25">
  <si>
    <t>Итог недели</t>
  </si>
  <si>
    <t>План месяца</t>
  </si>
  <si>
    <t>Нарастающий</t>
  </si>
  <si>
    <r>
      <rPr>
        <b/>
        <sz val="11"/>
        <color theme="1"/>
        <rFont val="Calibri"/>
        <family val="2"/>
        <charset val="204"/>
        <scheme val="minor"/>
      </rPr>
      <t xml:space="preserve">Примечание/комментариий 
</t>
    </r>
    <r>
      <rPr>
        <sz val="9"/>
        <color theme="1"/>
        <rFont val="Calibri"/>
        <family val="2"/>
        <charset val="204"/>
        <scheme val="minor"/>
      </rPr>
      <t>Указывается причина невыполнения на текущую дату</t>
    </r>
  </si>
  <si>
    <r>
      <rPr>
        <b/>
        <sz val="11"/>
        <color theme="1"/>
        <rFont val="Calibri"/>
        <family val="2"/>
        <charset val="204"/>
        <scheme val="minor"/>
      </rPr>
      <t xml:space="preserve">Риски
</t>
    </r>
    <r>
      <rPr>
        <sz val="9"/>
        <color theme="1"/>
        <rFont val="Calibri"/>
        <family val="2"/>
        <charset val="204"/>
        <scheme val="minor"/>
      </rPr>
      <t xml:space="preserve">Указываются риски, из-за которых возможно невыполнение показателей в ближайших периодах
</t>
    </r>
  </si>
  <si>
    <t xml:space="preserve">Модель / изделие </t>
  </si>
  <si>
    <t xml:space="preserve">план </t>
  </si>
  <si>
    <t>факт</t>
  </si>
  <si>
    <t>план</t>
  </si>
  <si>
    <t>План недели</t>
  </si>
  <si>
    <t>Факт недели</t>
  </si>
  <si>
    <t>откл.</t>
  </si>
  <si>
    <t>Сокол И</t>
  </si>
  <si>
    <t>П/ф</t>
  </si>
  <si>
    <t>ОТК</t>
  </si>
  <si>
    <t>Склад</t>
  </si>
  <si>
    <t>Сокол ИТ</t>
  </si>
  <si>
    <t>Сокол ИС</t>
  </si>
  <si>
    <t>Сокол ИСТ</t>
  </si>
  <si>
    <t>Итого выпуск</t>
  </si>
  <si>
    <r>
      <rPr>
        <b/>
        <sz val="11"/>
        <color theme="1"/>
        <rFont val="Calibri"/>
        <family val="2"/>
        <charset val="204"/>
        <scheme val="minor"/>
      </rPr>
      <t>П/ф</t>
    </r>
    <r>
      <rPr>
        <sz val="11"/>
        <color theme="1"/>
        <rFont val="Calibri"/>
        <family val="2"/>
        <charset val="204"/>
        <scheme val="minor"/>
      </rPr>
      <t xml:space="preserve"> — изделия в полуфабрикатном состоянии, не готовые к передаче в ОТК</t>
    </r>
  </si>
  <si>
    <r>
      <rPr>
        <b/>
        <sz val="11"/>
        <color theme="1"/>
        <rFont val="Calibri"/>
        <family val="2"/>
        <charset val="204"/>
        <scheme val="minor"/>
      </rPr>
      <t>ОТК</t>
    </r>
    <r>
      <rPr>
        <sz val="11"/>
        <color theme="1"/>
        <rFont val="Calibri"/>
        <family val="2"/>
        <charset val="204"/>
        <scheme val="minor"/>
      </rPr>
      <t xml:space="preserve"> — изделия, переданные на контроль качества</t>
    </r>
  </si>
  <si>
    <r>
      <rPr>
        <b/>
        <sz val="11"/>
        <color theme="1"/>
        <rFont val="Calibri"/>
        <family val="2"/>
        <charset val="204"/>
        <scheme val="minor"/>
      </rPr>
      <t>Склад</t>
    </r>
    <r>
      <rPr>
        <sz val="11"/>
        <color theme="1"/>
        <rFont val="Calibri"/>
        <family val="2"/>
        <charset val="204"/>
        <scheme val="minor"/>
      </rPr>
      <t xml:space="preserve"> — изделия, переданные на склад</t>
    </r>
  </si>
  <si>
    <t>01.08.2026-17.08.2026</t>
  </si>
  <si>
    <t>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</si>
</sst>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1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ont="0" applyFill="0" applyBorder="0"/>
  </cellStyleXfs>
  <cellXfs count="156">
    <xf numFmtId="0" fontId="4" fillId="0" borderId="0" xfId="0" applyFont="1"/>
    <xf numFmtId="0" fontId="5" fillId="0" borderId="78" xfId="0" applyFont="1" applyBorder="1" applyAlignment="1">
      <alignment horizontal="center" vertical="center"/>
    </xf>
    <xf numFmtId="3" fontId="10" fillId="0" borderId="42" xfId="0" applyNumberFormat="1" applyFont="1" applyBorder="1" applyAlignment="1">
      <alignment horizontal="center" vertical="center"/>
    </xf>
    <xf numFmtId="3" fontId="7" fillId="0" borderId="53" xfId="0" applyNumberFormat="1" applyFont="1" applyBorder="1"/>
    <xf numFmtId="3" fontId="10" fillId="0" borderId="43" xfId="0" applyNumberFormat="1" applyFont="1" applyBorder="1" applyAlignment="1">
      <alignment horizontal="center" vertical="center"/>
    </xf>
    <xf numFmtId="3" fontId="7" fillId="0" borderId="51" xfId="0" applyNumberFormat="1" applyFont="1" applyBorder="1"/>
    <xf numFmtId="3" fontId="5" fillId="4" borderId="39" xfId="0" applyNumberFormat="1" applyFont="1" applyFill="1" applyBorder="1"/>
    <xf numFmtId="3" fontId="10" fillId="0" borderId="44" xfId="0" applyNumberFormat="1" applyFont="1" applyBorder="1" applyAlignment="1">
      <alignment horizontal="center" vertical="center"/>
    </xf>
    <xf numFmtId="3" fontId="8" fillId="0" borderId="54" xfId="0" applyNumberFormat="1" applyFont="1" applyBorder="1"/>
    <xf numFmtId="3" fontId="9" fillId="0" borderId="54" xfId="0" applyNumberFormat="1" applyFont="1" applyBorder="1"/>
    <xf numFmtId="3" fontId="10" fillId="0" borderId="45" xfId="0" applyNumberFormat="1" applyFont="1" applyBorder="1" applyAlignment="1">
      <alignment horizontal="center" vertical="center"/>
    </xf>
    <xf numFmtId="3" fontId="7" fillId="0" borderId="52" xfId="0" applyNumberFormat="1" applyFont="1" applyBorder="1"/>
    <xf numFmtId="3" fontId="5" fillId="4" borderId="71" xfId="0" applyNumberFormat="1" applyFont="1" applyFill="1" applyBorder="1"/>
    <xf numFmtId="3" fontId="10" fillId="0" borderId="5" xfId="0" applyNumberFormat="1" applyFont="1" applyBorder="1" applyAlignment="1">
      <alignment horizontal="center" vertical="center"/>
    </xf>
    <xf numFmtId="3" fontId="8" fillId="0" borderId="75" xfId="0" applyNumberFormat="1" applyFont="1" applyBorder="1"/>
    <xf numFmtId="3" fontId="9" fillId="0" borderId="75" xfId="0" applyNumberFormat="1" applyFont="1" applyBorder="1"/>
    <xf numFmtId="3" fontId="8" fillId="0" borderId="52" xfId="0" applyNumberFormat="1" applyFont="1" applyBorder="1"/>
    <xf numFmtId="3" fontId="8" fillId="0" borderId="51" xfId="0" applyNumberFormat="1" applyFont="1" applyBorder="1"/>
    <xf numFmtId="3" fontId="8" fillId="0" borderId="78" xfId="0" applyNumberFormat="1" applyFont="1" applyBorder="1"/>
    <xf numFmtId="3" fontId="5" fillId="0" borderId="78" xfId="0" applyNumberFormat="1" applyFont="1" applyBorder="1"/>
    <xf numFmtId="3" fontId="5" fillId="4" borderId="78" xfId="0" applyNumberFormat="1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5" xfId="0" applyFont="1" applyBorder="1"/>
    <xf numFmtId="14" fontId="3" fillId="2" borderId="29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3" fillId="3" borderId="1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3" fillId="0" borderId="16" xfId="0" applyFont="1" applyBorder="1"/>
    <xf numFmtId="3" fontId="3" fillId="0" borderId="7" xfId="0" applyNumberFormat="1" applyFont="1" applyBorder="1"/>
    <xf numFmtId="3" fontId="3" fillId="0" borderId="9" xfId="0" applyNumberFormat="1" applyFont="1" applyBorder="1"/>
    <xf numFmtId="3" fontId="3" fillId="0" borderId="34" xfId="0" applyNumberFormat="1" applyFont="1" applyBorder="1"/>
    <xf numFmtId="3" fontId="3" fillId="0" borderId="35" xfId="0" applyNumberFormat="1" applyFont="1" applyBorder="1"/>
    <xf numFmtId="3" fontId="3" fillId="0" borderId="19" xfId="0" applyNumberFormat="1" applyFont="1" applyBorder="1"/>
    <xf numFmtId="3" fontId="3" fillId="0" borderId="16" xfId="0" applyNumberFormat="1" applyFont="1" applyBorder="1"/>
    <xf numFmtId="3" fontId="3" fillId="4" borderId="42" xfId="0" applyNumberFormat="1" applyFont="1" applyFill="1" applyBorder="1"/>
    <xf numFmtId="3" fontId="3" fillId="4" borderId="76" xfId="0" applyNumberFormat="1" applyFont="1" applyFill="1" applyBorder="1"/>
    <xf numFmtId="3" fontId="3" fillId="4" borderId="34" xfId="0" applyNumberFormat="1" applyFont="1" applyFill="1" applyBorder="1"/>
    <xf numFmtId="3" fontId="3" fillId="4" borderId="35" xfId="0" applyNumberFormat="1" applyFont="1" applyFill="1" applyBorder="1"/>
    <xf numFmtId="3" fontId="3" fillId="0" borderId="47" xfId="0" applyNumberFormat="1" applyFont="1" applyBorder="1"/>
    <xf numFmtId="3" fontId="3" fillId="0" borderId="53" xfId="0" applyNumberFormat="1" applyFont="1" applyBorder="1"/>
    <xf numFmtId="0" fontId="3" fillId="0" borderId="19" xfId="0" applyFont="1" applyBorder="1"/>
    <xf numFmtId="0" fontId="3" fillId="0" borderId="9" xfId="0" applyFont="1" applyBorder="1"/>
    <xf numFmtId="3" fontId="3" fillId="0" borderId="22" xfId="0" applyNumberFormat="1" applyFont="1" applyBorder="1"/>
    <xf numFmtId="3" fontId="3" fillId="0" borderId="11" xfId="0" applyNumberFormat="1" applyFont="1" applyBorder="1"/>
    <xf numFmtId="3" fontId="3" fillId="0" borderId="36" xfId="0" applyNumberFormat="1" applyFont="1" applyBorder="1"/>
    <xf numFmtId="3" fontId="3" fillId="0" borderId="37" xfId="0" applyNumberFormat="1" applyFont="1" applyBorder="1"/>
    <xf numFmtId="3" fontId="3" fillId="0" borderId="2" xfId="0" applyNumberFormat="1" applyFont="1" applyBorder="1"/>
    <xf numFmtId="3" fontId="3" fillId="0" borderId="15" xfId="0" applyNumberFormat="1" applyFont="1" applyBorder="1"/>
    <xf numFmtId="3" fontId="3" fillId="4" borderId="43" xfId="0" applyNumberFormat="1" applyFont="1" applyFill="1" applyBorder="1"/>
    <xf numFmtId="3" fontId="3" fillId="4" borderId="57" xfId="0" applyNumberFormat="1" applyFont="1" applyFill="1" applyBorder="1"/>
    <xf numFmtId="3" fontId="3" fillId="4" borderId="36" xfId="0" applyNumberFormat="1" applyFont="1" applyFill="1" applyBorder="1"/>
    <xf numFmtId="3" fontId="3" fillId="4" borderId="37" xfId="0" applyNumberFormat="1" applyFont="1" applyFill="1" applyBorder="1"/>
    <xf numFmtId="3" fontId="3" fillId="0" borderId="48" xfId="0" applyNumberFormat="1" applyFont="1" applyBorder="1"/>
    <xf numFmtId="3" fontId="3" fillId="0" borderId="51" xfId="0" applyNumberFormat="1" applyFont="1" applyBorder="1"/>
    <xf numFmtId="0" fontId="3" fillId="0" borderId="2" xfId="0" applyFont="1" applyBorder="1"/>
    <xf numFmtId="0" fontId="3" fillId="0" borderId="11" xfId="0" applyFont="1" applyBorder="1"/>
    <xf numFmtId="0" fontId="3" fillId="0" borderId="17" xfId="0" applyFont="1" applyBorder="1"/>
    <xf numFmtId="3" fontId="3" fillId="0" borderId="23" xfId="0" applyNumberFormat="1" applyFont="1" applyBorder="1"/>
    <xf numFmtId="3" fontId="3" fillId="0" borderId="14" xfId="0" applyNumberFormat="1" applyFont="1" applyBorder="1"/>
    <xf numFmtId="3" fontId="3" fillId="0" borderId="38" xfId="0" applyNumberFormat="1" applyFont="1" applyBorder="1"/>
    <xf numFmtId="3" fontId="3" fillId="0" borderId="39" xfId="0" applyNumberFormat="1" applyFont="1" applyBorder="1"/>
    <xf numFmtId="3" fontId="3" fillId="0" borderId="20" xfId="0" applyNumberFormat="1" applyFont="1" applyBorder="1"/>
    <xf numFmtId="3" fontId="3" fillId="0" borderId="17" xfId="0" applyNumberFormat="1" applyFont="1" applyBorder="1"/>
    <xf numFmtId="3" fontId="3" fillId="4" borderId="44" xfId="0" applyNumberFormat="1" applyFont="1" applyFill="1" applyBorder="1"/>
    <xf numFmtId="3" fontId="3" fillId="4" borderId="77" xfId="0" applyNumberFormat="1" applyFont="1" applyFill="1" applyBorder="1"/>
    <xf numFmtId="3" fontId="3" fillId="4" borderId="38" xfId="0" applyNumberFormat="1" applyFont="1" applyFill="1" applyBorder="1"/>
    <xf numFmtId="3" fontId="3" fillId="0" borderId="49" xfId="0" applyNumberFormat="1" applyFont="1" applyBorder="1"/>
    <xf numFmtId="0" fontId="3" fillId="0" borderId="20" xfId="0" applyFont="1" applyBorder="1"/>
    <xf numFmtId="0" fontId="3" fillId="0" borderId="14" xfId="0" applyFont="1" applyBorder="1"/>
    <xf numFmtId="3" fontId="3" fillId="5" borderId="14" xfId="0" applyNumberFormat="1" applyFont="1" applyFill="1" applyBorder="1"/>
    <xf numFmtId="0" fontId="3" fillId="0" borderId="18" xfId="0" applyFont="1" applyBorder="1"/>
    <xf numFmtId="3" fontId="3" fillId="0" borderId="24" xfId="0" applyNumberFormat="1" applyFont="1" applyBorder="1"/>
    <xf numFmtId="3" fontId="3" fillId="0" borderId="25" xfId="0" applyNumberFormat="1" applyFont="1" applyBorder="1"/>
    <xf numFmtId="3" fontId="3" fillId="0" borderId="40" xfId="0" applyNumberFormat="1" applyFont="1" applyBorder="1"/>
    <xf numFmtId="3" fontId="3" fillId="0" borderId="41" xfId="0" applyNumberFormat="1" applyFont="1" applyBorder="1"/>
    <xf numFmtId="3" fontId="3" fillId="0" borderId="21" xfId="0" applyNumberFormat="1" applyFont="1" applyBorder="1"/>
    <xf numFmtId="3" fontId="3" fillId="0" borderId="18" xfId="0" applyNumberFormat="1" applyFont="1" applyBorder="1"/>
    <xf numFmtId="3" fontId="3" fillId="4" borderId="45" xfId="0" applyNumberFormat="1" applyFont="1" applyFill="1" applyBorder="1"/>
    <xf numFmtId="3" fontId="3" fillId="4" borderId="61" xfId="0" applyNumberFormat="1" applyFont="1" applyFill="1" applyBorder="1"/>
    <xf numFmtId="3" fontId="3" fillId="4" borderId="40" xfId="0" applyNumberFormat="1" applyFont="1" applyFill="1" applyBorder="1"/>
    <xf numFmtId="3" fontId="3" fillId="4" borderId="41" xfId="0" applyNumberFormat="1" applyFont="1" applyFill="1" applyBorder="1"/>
    <xf numFmtId="3" fontId="3" fillId="0" borderId="59" xfId="0" applyNumberFormat="1" applyFont="1" applyBorder="1"/>
    <xf numFmtId="3" fontId="3" fillId="0" borderId="52" xfId="0" applyNumberFormat="1" applyFont="1" applyBorder="1"/>
    <xf numFmtId="0" fontId="3" fillId="0" borderId="21" xfId="0" applyFont="1" applyBorder="1"/>
    <xf numFmtId="0" fontId="3" fillId="0" borderId="25" xfId="0" applyFont="1" applyBorder="1"/>
    <xf numFmtId="3" fontId="3" fillId="0" borderId="68" xfId="0" applyNumberFormat="1" applyFont="1" applyBorder="1"/>
    <xf numFmtId="0" fontId="3" fillId="0" borderId="67" xfId="0" applyFont="1" applyBorder="1"/>
    <xf numFmtId="3" fontId="3" fillId="0" borderId="69" xfId="0" applyNumberFormat="1" applyFont="1" applyBorder="1"/>
    <xf numFmtId="3" fontId="3" fillId="0" borderId="70" xfId="0" applyNumberFormat="1" applyFont="1" applyBorder="1"/>
    <xf numFmtId="3" fontId="3" fillId="0" borderId="71" xfId="0" applyNumberFormat="1" applyFont="1" applyBorder="1"/>
    <xf numFmtId="3" fontId="3" fillId="0" borderId="72" xfId="0" applyNumberFormat="1" applyFont="1" applyBorder="1"/>
    <xf numFmtId="3" fontId="3" fillId="0" borderId="67" xfId="0" applyNumberFormat="1" applyFont="1" applyBorder="1"/>
    <xf numFmtId="3" fontId="3" fillId="4" borderId="5" xfId="0" applyNumberFormat="1" applyFont="1" applyFill="1" applyBorder="1"/>
    <xf numFmtId="3" fontId="3" fillId="4" borderId="73" xfId="0" applyNumberFormat="1" applyFont="1" applyFill="1" applyBorder="1"/>
    <xf numFmtId="3" fontId="3" fillId="4" borderId="70" xfId="0" applyNumberFormat="1" applyFont="1" applyFill="1" applyBorder="1"/>
    <xf numFmtId="0" fontId="3" fillId="0" borderId="72" xfId="0" applyFont="1" applyBorder="1"/>
    <xf numFmtId="0" fontId="3" fillId="0" borderId="69" xfId="0" applyFont="1" applyBorder="1"/>
    <xf numFmtId="3" fontId="3" fillId="0" borderId="50" xfId="0" applyNumberFormat="1" applyFont="1" applyBorder="1"/>
    <xf numFmtId="3" fontId="3" fillId="0" borderId="45" xfId="0" applyNumberFormat="1" applyFont="1" applyBorder="1"/>
    <xf numFmtId="0" fontId="3" fillId="0" borderId="3" xfId="0" applyFont="1" applyBorder="1"/>
    <xf numFmtId="3" fontId="3" fillId="0" borderId="43" xfId="0" applyNumberFormat="1" applyFont="1" applyBorder="1"/>
    <xf numFmtId="3" fontId="3" fillId="4" borderId="71" xfId="0" applyNumberFormat="1" applyFont="1" applyFill="1" applyBorder="1"/>
    <xf numFmtId="3" fontId="3" fillId="0" borderId="74" xfId="0" applyNumberFormat="1" applyFont="1" applyBorder="1"/>
    <xf numFmtId="3" fontId="3" fillId="0" borderId="5" xfId="0" applyNumberFormat="1" applyFont="1" applyBorder="1"/>
    <xf numFmtId="3" fontId="3" fillId="0" borderId="75" xfId="0" applyNumberFormat="1" applyFont="1" applyBorder="1"/>
    <xf numFmtId="0" fontId="3" fillId="0" borderId="65" xfId="0" applyFont="1" applyBorder="1" applyAlignment="1">
      <alignment horizontal="center" vertical="center"/>
    </xf>
    <xf numFmtId="0" fontId="3" fillId="0" borderId="78" xfId="0" applyFont="1" applyBorder="1"/>
    <xf numFmtId="0" fontId="3" fillId="0" borderId="66" xfId="0" applyFont="1" applyBorder="1"/>
    <xf numFmtId="0" fontId="3" fillId="0" borderId="0" xfId="0" applyFont="1" applyAlignment="1">
      <alignment wrapText="1"/>
    </xf>
    <xf numFmtId="3" fontId="3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14" fontId="3" fillId="2" borderId="28" xfId="0" applyNumberFormat="1" applyFont="1" applyFill="1" applyBorder="1" applyAlignment="1">
      <alignment horizontal="center" vertical="center"/>
    </xf>
    <xf numFmtId="14" fontId="3" fillId="2" borderId="29" xfId="0" applyNumberFormat="1" applyFont="1" applyFill="1" applyBorder="1" applyAlignment="1">
      <alignment horizontal="center" vertical="center"/>
    </xf>
    <xf numFmtId="14" fontId="3" fillId="2" borderId="60" xfId="0" applyNumberFormat="1" applyFont="1" applyFill="1" applyBorder="1" applyAlignment="1">
      <alignment horizontal="center" vertical="center"/>
    </xf>
    <xf numFmtId="14" fontId="3" fillId="2" borderId="56" xfId="0" applyNumberFormat="1" applyFont="1" applyFill="1" applyBorder="1" applyAlignment="1">
      <alignment horizontal="center" vertical="center"/>
    </xf>
    <xf numFmtId="14" fontId="3" fillId="4" borderId="60" xfId="0" applyNumberFormat="1" applyFont="1" applyFill="1" applyBorder="1" applyAlignment="1">
      <alignment horizontal="center" vertical="center"/>
    </xf>
    <xf numFmtId="14" fontId="3" fillId="4" borderId="55" xfId="0" applyNumberFormat="1" applyFont="1" applyFill="1" applyBorder="1" applyAlignment="1">
      <alignment horizontal="center" vertical="center"/>
    </xf>
    <xf numFmtId="14" fontId="3" fillId="2" borderId="59" xfId="0" applyNumberFormat="1" applyFont="1" applyFill="1" applyBorder="1" applyAlignment="1">
      <alignment horizontal="center" vertical="center"/>
    </xf>
    <xf numFmtId="14" fontId="3" fillId="2" borderId="55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3" fillId="2" borderId="28" xfId="0" applyNumberFormat="1" applyFont="1" applyFill="1" applyBorder="1" applyAlignment="1">
      <alignment horizontal="center" vertical="center"/>
    </xf>
    <xf numFmtId="164" fontId="3" fillId="2" borderId="29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2" borderId="32" xfId="0" applyNumberFormat="1" applyFont="1" applyFill="1" applyBorder="1" applyAlignment="1">
      <alignment horizontal="center" vertical="center"/>
    </xf>
    <xf numFmtId="164" fontId="3" fillId="2" borderId="56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4" fontId="3" fillId="4" borderId="58" xfId="0" applyNumberFormat="1" applyFont="1" applyFill="1" applyBorder="1" applyAlignment="1">
      <alignment horizontal="center" vertical="center"/>
    </xf>
    <xf numFmtId="14" fontId="3" fillId="4" borderId="56" xfId="0" applyNumberFormat="1" applyFont="1" applyFill="1" applyBorder="1" applyAlignment="1">
      <alignment horizontal="center" vertical="center"/>
    </xf>
    <xf numFmtId="14" fontId="3" fillId="2" borderId="32" xfId="0" applyNumberFormat="1" applyFont="1" applyFill="1" applyBorder="1" applyAlignment="1">
      <alignment horizontal="center" vertical="center"/>
    </xf>
    <xf numFmtId="14" fontId="3" fillId="2" borderId="3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"/>
  <sheetViews>
    <sheetView tabSelected="1" zoomScale="85" zoomScaleNormal="85" workbookViewId="0">
      <selection activeCell="X7" sqref="X7:X15"/>
    </sheetView>
  </sheetViews>
  <sheetFormatPr defaultColWidth="9.140625" defaultRowHeight="15" x14ac:dyDescent="0.25"/>
  <cols>
    <col min="1" max="1" width="9.140625" customWidth="1"/>
    <col min="2" max="2" width="24.85546875" customWidth="1"/>
    <col min="3" max="3" width="14.42578125" customWidth="1"/>
    <col min="4" max="4" width="9.42578125" bestFit="1" customWidth="1"/>
    <col min="5" max="5" width="12.5703125" customWidth="1"/>
    <col min="6" max="7" width="9.140625" bestFit="1" customWidth="1"/>
    <col min="8" max="8" width="11.42578125" customWidth="1"/>
    <col min="9" max="9" width="9.140625" customWidth="1"/>
    <col min="10" max="35" width="9.140625" bestFit="1" customWidth="1"/>
    <col min="36" max="36" width="14.140625" customWidth="1"/>
    <col min="37" max="38" width="9.85546875" bestFit="1" customWidth="1"/>
    <col min="39" max="39" width="10.5703125" bestFit="1" customWidth="1"/>
    <col min="40" max="40" width="28.42578125" customWidth="1"/>
    <col min="41" max="41" width="24.5703125" customWidth="1"/>
  </cols>
  <sheetData>
    <row r="1" spans="1:41" ht="15.75" thickBot="1" x14ac:dyDescent="0.3">
      <c r="A1" s="122" t="s">
        <v>24</v>
      </c>
      <c r="B1" s="21">
        <v>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</row>
    <row r="2" spans="1:41" ht="30.75" customHeight="1" thickBot="1" x14ac:dyDescent="0.3">
      <c r="A2" s="22"/>
      <c r="B2" s="22"/>
      <c r="C2" s="23"/>
      <c r="D2" s="142" t="s">
        <v>23</v>
      </c>
      <c r="E2" s="143"/>
      <c r="F2" s="142">
        <v>46252</v>
      </c>
      <c r="G2" s="143"/>
      <c r="H2" s="149">
        <v>46253</v>
      </c>
      <c r="I2" s="150"/>
      <c r="J2" s="137">
        <v>46254</v>
      </c>
      <c r="K2" s="134"/>
      <c r="L2" s="133">
        <v>46255</v>
      </c>
      <c r="M2" s="138"/>
      <c r="N2" s="137">
        <v>46256</v>
      </c>
      <c r="O2" s="134"/>
      <c r="P2" s="133">
        <v>46257</v>
      </c>
      <c r="Q2" s="138"/>
      <c r="R2" s="137">
        <v>46258</v>
      </c>
      <c r="S2" s="134"/>
      <c r="T2" s="135">
        <v>46259</v>
      </c>
      <c r="U2" s="136"/>
      <c r="V2" s="152" t="s">
        <v>0</v>
      </c>
      <c r="W2" s="153"/>
      <c r="X2" s="133">
        <v>46261</v>
      </c>
      <c r="Y2" s="134"/>
      <c r="Z2" s="131">
        <v>46262</v>
      </c>
      <c r="AA2" s="132"/>
      <c r="AB2" s="131">
        <v>46263</v>
      </c>
      <c r="AC2" s="132"/>
      <c r="AD2" s="131">
        <v>46264</v>
      </c>
      <c r="AE2" s="132"/>
      <c r="AF2" s="154">
        <v>46265</v>
      </c>
      <c r="AG2" s="132"/>
      <c r="AH2" s="152" t="s">
        <v>0</v>
      </c>
      <c r="AI2" s="153"/>
      <c r="AJ2" s="24" t="s">
        <v>1</v>
      </c>
      <c r="AK2" s="154" t="s">
        <v>2</v>
      </c>
      <c r="AL2" s="155"/>
      <c r="AM2" s="132"/>
      <c r="AN2" s="129" t="s">
        <v>3</v>
      </c>
      <c r="AO2" s="127" t="s">
        <v>4</v>
      </c>
    </row>
    <row r="3" spans="1:41" ht="36" customHeight="1" thickBot="1" x14ac:dyDescent="0.3">
      <c r="A3" s="25"/>
      <c r="B3" s="140" t="s">
        <v>5</v>
      </c>
      <c r="C3" s="141"/>
      <c r="D3" s="26" t="s">
        <v>6</v>
      </c>
      <c r="E3" s="27" t="s">
        <v>7</v>
      </c>
      <c r="F3" s="26" t="s">
        <v>6</v>
      </c>
      <c r="G3" s="27" t="s">
        <v>7</v>
      </c>
      <c r="H3" s="28" t="s">
        <v>8</v>
      </c>
      <c r="I3" s="29" t="s">
        <v>7</v>
      </c>
      <c r="J3" s="30" t="s">
        <v>6</v>
      </c>
      <c r="K3" s="31" t="s">
        <v>7</v>
      </c>
      <c r="L3" s="32" t="s">
        <v>6</v>
      </c>
      <c r="M3" s="33" t="s">
        <v>7</v>
      </c>
      <c r="N3" s="30" t="s">
        <v>6</v>
      </c>
      <c r="O3" s="31" t="s">
        <v>7</v>
      </c>
      <c r="P3" s="32" t="s">
        <v>6</v>
      </c>
      <c r="Q3" s="33" t="s">
        <v>7</v>
      </c>
      <c r="R3" s="30" t="s">
        <v>6</v>
      </c>
      <c r="S3" s="31" t="s">
        <v>7</v>
      </c>
      <c r="T3" s="34" t="s">
        <v>6</v>
      </c>
      <c r="U3" s="35" t="s">
        <v>7</v>
      </c>
      <c r="V3" s="36" t="s">
        <v>9</v>
      </c>
      <c r="W3" s="37" t="s">
        <v>10</v>
      </c>
      <c r="X3" s="32" t="s">
        <v>6</v>
      </c>
      <c r="Y3" s="31" t="s">
        <v>7</v>
      </c>
      <c r="Z3" s="26" t="s">
        <v>6</v>
      </c>
      <c r="AA3" s="27" t="s">
        <v>7</v>
      </c>
      <c r="AB3" s="26" t="s">
        <v>6</v>
      </c>
      <c r="AC3" s="27" t="s">
        <v>7</v>
      </c>
      <c r="AD3" s="26" t="s">
        <v>6</v>
      </c>
      <c r="AE3" s="27" t="s">
        <v>7</v>
      </c>
      <c r="AF3" s="26" t="s">
        <v>6</v>
      </c>
      <c r="AG3" s="38" t="s">
        <v>7</v>
      </c>
      <c r="AH3" s="36" t="s">
        <v>9</v>
      </c>
      <c r="AI3" s="37" t="s">
        <v>10</v>
      </c>
      <c r="AJ3" s="38"/>
      <c r="AK3" s="26" t="s">
        <v>6</v>
      </c>
      <c r="AL3" s="27" t="s">
        <v>7</v>
      </c>
      <c r="AM3" s="27" t="s">
        <v>11</v>
      </c>
      <c r="AN3" s="130"/>
      <c r="AO3" s="128"/>
    </row>
    <row r="4" spans="1:41" ht="19.5" thickBot="1" x14ac:dyDescent="0.3">
      <c r="A4" s="144">
        <v>1</v>
      </c>
      <c r="B4" s="147" t="s">
        <v>12</v>
      </c>
      <c r="C4" s="39" t="s">
        <v>13</v>
      </c>
      <c r="D4" s="40">
        <v>100</v>
      </c>
      <c r="E4" s="41">
        <v>1995</v>
      </c>
      <c r="F4" s="40"/>
      <c r="G4" s="41">
        <v>500</v>
      </c>
      <c r="H4" s="42"/>
      <c r="I4" s="43"/>
      <c r="J4" s="44"/>
      <c r="K4" s="41"/>
      <c r="L4" s="44"/>
      <c r="M4" s="45"/>
      <c r="N4" s="40"/>
      <c r="O4" s="41"/>
      <c r="P4" s="44"/>
      <c r="Q4" s="45"/>
      <c r="R4" s="40"/>
      <c r="S4" s="41"/>
      <c r="T4" s="46"/>
      <c r="U4" s="47"/>
      <c r="V4" s="48">
        <f t="shared" ref="V4:V6" si="0">J4+L4+N4+P4+R4</f>
        <v>0</v>
      </c>
      <c r="W4" s="49">
        <f t="shared" ref="W4:W8" si="1">K4+M4+O4+Q4+S4+U4</f>
        <v>0</v>
      </c>
      <c r="X4" s="44"/>
      <c r="Y4" s="41"/>
      <c r="Z4" s="40"/>
      <c r="AA4" s="41"/>
      <c r="AB4" s="40"/>
      <c r="AC4" s="41"/>
      <c r="AD4" s="40"/>
      <c r="AE4" s="41"/>
      <c r="AF4" s="40"/>
      <c r="AG4" s="50"/>
      <c r="AH4" s="48">
        <f t="shared" ref="AH4:AH6" si="2">V4+X4+Z4+AB4+AD4</f>
        <v>0</v>
      </c>
      <c r="AI4" s="49">
        <f t="shared" ref="AI4:AI8" si="3">Y4+AA4+AC4+AE4+AG4</f>
        <v>0</v>
      </c>
      <c r="AJ4" s="2">
        <v>6800</v>
      </c>
      <c r="AK4" s="51">
        <f t="shared" ref="AK4:AL6" si="4">F4+H4+J4+L4+N4+P4+R4+T4+X4+Z4+AB4+AD4+AF4+D4</f>
        <v>100</v>
      </c>
      <c r="AL4" s="51">
        <f t="shared" si="4"/>
        <v>2495</v>
      </c>
      <c r="AM4" s="3">
        <f>AL4-AK4</f>
        <v>2395</v>
      </c>
      <c r="AN4" s="52"/>
      <c r="AO4" s="53"/>
    </row>
    <row r="5" spans="1:41" ht="19.5" thickBot="1" x14ac:dyDescent="0.3">
      <c r="A5" s="145"/>
      <c r="B5" s="126"/>
      <c r="C5" s="23" t="s">
        <v>14</v>
      </c>
      <c r="D5" s="40">
        <v>100</v>
      </c>
      <c r="E5" s="55">
        <v>1995</v>
      </c>
      <c r="F5" s="54"/>
      <c r="G5" s="55">
        <v>500</v>
      </c>
      <c r="H5" s="56"/>
      <c r="I5" s="57"/>
      <c r="J5" s="58"/>
      <c r="K5" s="55"/>
      <c r="L5" s="58"/>
      <c r="M5" s="59"/>
      <c r="N5" s="54"/>
      <c r="O5" s="55"/>
      <c r="P5" s="58"/>
      <c r="Q5" s="59"/>
      <c r="R5" s="54"/>
      <c r="S5" s="55"/>
      <c r="T5" s="60"/>
      <c r="U5" s="61"/>
      <c r="V5" s="62">
        <f t="shared" si="0"/>
        <v>0</v>
      </c>
      <c r="W5" s="63">
        <f t="shared" si="1"/>
        <v>0</v>
      </c>
      <c r="X5" s="58"/>
      <c r="Y5" s="55"/>
      <c r="Z5" s="54"/>
      <c r="AA5" s="55"/>
      <c r="AB5" s="54"/>
      <c r="AC5" s="55"/>
      <c r="AD5" s="54"/>
      <c r="AE5" s="55"/>
      <c r="AF5" s="54"/>
      <c r="AG5" s="64"/>
      <c r="AH5" s="62">
        <f t="shared" si="2"/>
        <v>0</v>
      </c>
      <c r="AI5" s="63">
        <f t="shared" si="3"/>
        <v>0</v>
      </c>
      <c r="AJ5" s="4">
        <v>6800</v>
      </c>
      <c r="AK5" s="65">
        <f t="shared" si="4"/>
        <v>100</v>
      </c>
      <c r="AL5" s="65">
        <f t="shared" si="4"/>
        <v>2495</v>
      </c>
      <c r="AM5" s="5">
        <f t="shared" ref="AM5:AM27" si="5">AL5-AK5</f>
        <v>2395</v>
      </c>
      <c r="AN5" s="66"/>
      <c r="AO5" s="67"/>
    </row>
    <row r="6" spans="1:41" ht="19.5" thickBot="1" x14ac:dyDescent="0.35">
      <c r="A6" s="146"/>
      <c r="B6" s="148"/>
      <c r="C6" s="68" t="s">
        <v>15</v>
      </c>
      <c r="D6" s="40">
        <v>100</v>
      </c>
      <c r="E6" s="70">
        <v>1995</v>
      </c>
      <c r="F6" s="69"/>
      <c r="G6" s="70"/>
      <c r="H6" s="71"/>
      <c r="I6" s="72"/>
      <c r="J6" s="73"/>
      <c r="K6" s="70"/>
      <c r="L6" s="73"/>
      <c r="M6" s="74">
        <v>500</v>
      </c>
      <c r="N6" s="69"/>
      <c r="O6" s="70"/>
      <c r="P6" s="73"/>
      <c r="Q6" s="74"/>
      <c r="R6" s="69"/>
      <c r="S6" s="70"/>
      <c r="T6" s="75"/>
      <c r="U6" s="76"/>
      <c r="V6" s="77">
        <f t="shared" si="0"/>
        <v>0</v>
      </c>
      <c r="W6" s="6">
        <f t="shared" si="1"/>
        <v>500</v>
      </c>
      <c r="X6" s="73"/>
      <c r="Y6" s="70"/>
      <c r="Z6" s="69"/>
      <c r="AA6" s="70"/>
      <c r="AB6" s="69"/>
      <c r="AC6" s="70"/>
      <c r="AD6" s="69"/>
      <c r="AE6" s="70"/>
      <c r="AF6" s="69"/>
      <c r="AG6" s="78"/>
      <c r="AH6" s="77">
        <f t="shared" si="2"/>
        <v>0</v>
      </c>
      <c r="AI6" s="6">
        <f t="shared" si="3"/>
        <v>0</v>
      </c>
      <c r="AJ6" s="7">
        <v>6800</v>
      </c>
      <c r="AK6" s="8">
        <f t="shared" si="4"/>
        <v>100</v>
      </c>
      <c r="AL6" s="8">
        <f t="shared" si="4"/>
        <v>2495</v>
      </c>
      <c r="AM6" s="9">
        <f t="shared" si="5"/>
        <v>2395</v>
      </c>
      <c r="AN6" s="79"/>
      <c r="AO6" s="80"/>
    </row>
    <row r="7" spans="1:41" ht="19.5" thickBot="1" x14ac:dyDescent="0.3">
      <c r="A7" s="144">
        <v>2</v>
      </c>
      <c r="B7" s="147" t="s">
        <v>16</v>
      </c>
      <c r="C7" s="39" t="s">
        <v>13</v>
      </c>
      <c r="D7" s="40">
        <v>100</v>
      </c>
      <c r="E7" s="41">
        <v>0</v>
      </c>
      <c r="F7" s="40"/>
      <c r="G7" s="41">
        <v>500</v>
      </c>
      <c r="H7" s="42"/>
      <c r="I7" s="43"/>
      <c r="J7" s="44">
        <v>150</v>
      </c>
      <c r="K7" s="41">
        <v>500</v>
      </c>
      <c r="L7" s="44">
        <v>300</v>
      </c>
      <c r="M7" s="45">
        <v>0</v>
      </c>
      <c r="N7" s="40">
        <v>300</v>
      </c>
      <c r="O7" s="41">
        <v>0</v>
      </c>
      <c r="P7" s="44">
        <v>300</v>
      </c>
      <c r="Q7" s="45">
        <v>0</v>
      </c>
      <c r="R7" s="40">
        <v>300</v>
      </c>
      <c r="S7" s="41">
        <v>170</v>
      </c>
      <c r="T7" s="46"/>
      <c r="U7" s="47">
        <v>180</v>
      </c>
      <c r="V7" s="48">
        <f>J7+L7+N7+P7+R7</f>
        <v>1350</v>
      </c>
      <c r="W7" s="49">
        <f t="shared" si="1"/>
        <v>850</v>
      </c>
      <c r="X7" s="44">
        <v>111</v>
      </c>
      <c r="Y7" s="41">
        <v>106</v>
      </c>
      <c r="Z7" s="40">
        <v>300</v>
      </c>
      <c r="AA7" s="41"/>
      <c r="AB7" s="40"/>
      <c r="AC7" s="41"/>
      <c r="AD7" s="40"/>
      <c r="AE7" s="41"/>
      <c r="AF7" s="40"/>
      <c r="AG7" s="50"/>
      <c r="AH7" s="48">
        <f>V7+X7+Z7+AB7+AD7</f>
        <v>1761</v>
      </c>
      <c r="AI7" s="49">
        <f t="shared" si="3"/>
        <v>106</v>
      </c>
      <c r="AJ7" s="2">
        <v>3000</v>
      </c>
      <c r="AK7" s="51">
        <f t="shared" ref="AK7:AK27" si="6">F7+H7+J7+L7+N7+P7+R7+T7+X7+Z7+AB7+AD7+AF7+D7</f>
        <v>1861</v>
      </c>
      <c r="AL7" s="51">
        <f t="shared" ref="AL7:AL27" si="7">G7+I7+K7+M7+O7+Q7+S7+U7+Y7+AA7+AC7+AE7+AG7+E7</f>
        <v>1456</v>
      </c>
      <c r="AM7" s="3">
        <f t="shared" si="5"/>
        <v>-405</v>
      </c>
      <c r="AN7" s="52"/>
      <c r="AO7" s="53"/>
    </row>
    <row r="8" spans="1:41" ht="19.5" thickBot="1" x14ac:dyDescent="0.3">
      <c r="A8" s="145"/>
      <c r="B8" s="126"/>
      <c r="C8" s="23" t="s">
        <v>14</v>
      </c>
      <c r="D8" s="40">
        <v>100</v>
      </c>
      <c r="E8" s="55">
        <v>0</v>
      </c>
      <c r="F8" s="54"/>
      <c r="G8" s="55">
        <v>500</v>
      </c>
      <c r="H8" s="56"/>
      <c r="I8" s="57"/>
      <c r="J8" s="44">
        <v>150</v>
      </c>
      <c r="K8" s="55">
        <v>500</v>
      </c>
      <c r="L8" s="58">
        <v>300</v>
      </c>
      <c r="M8" s="59">
        <v>0</v>
      </c>
      <c r="N8" s="54">
        <v>300</v>
      </c>
      <c r="O8" s="55">
        <v>0</v>
      </c>
      <c r="P8" s="58">
        <v>300</v>
      </c>
      <c r="Q8" s="59">
        <v>0</v>
      </c>
      <c r="R8" s="54">
        <v>300</v>
      </c>
      <c r="S8" s="55">
        <v>500</v>
      </c>
      <c r="T8" s="60"/>
      <c r="U8" s="61">
        <v>250</v>
      </c>
      <c r="V8" s="62">
        <f>J8+L8+N8+P8+R8</f>
        <v>1350</v>
      </c>
      <c r="W8" s="63">
        <f t="shared" si="1"/>
        <v>1250</v>
      </c>
      <c r="X8" s="44">
        <v>111</v>
      </c>
      <c r="Y8" s="55">
        <v>750</v>
      </c>
      <c r="Z8" s="54">
        <v>300</v>
      </c>
      <c r="AA8" s="55"/>
      <c r="AB8" s="54"/>
      <c r="AC8" s="55"/>
      <c r="AD8" s="54"/>
      <c r="AE8" s="55"/>
      <c r="AF8" s="54"/>
      <c r="AG8" s="64"/>
      <c r="AH8" s="62">
        <f>V8+X8+Z8+AB8+AD8</f>
        <v>1761</v>
      </c>
      <c r="AI8" s="63">
        <f t="shared" si="3"/>
        <v>750</v>
      </c>
      <c r="AJ8" s="4">
        <v>3000</v>
      </c>
      <c r="AK8" s="65">
        <f t="shared" si="6"/>
        <v>1861</v>
      </c>
      <c r="AL8" s="65">
        <f t="shared" si="7"/>
        <v>2500</v>
      </c>
      <c r="AM8" s="5">
        <f t="shared" si="5"/>
        <v>639</v>
      </c>
      <c r="AN8" s="66"/>
      <c r="AO8" s="67"/>
    </row>
    <row r="9" spans="1:41" ht="19.5" thickBot="1" x14ac:dyDescent="0.35">
      <c r="A9" s="146"/>
      <c r="B9" s="148"/>
      <c r="C9" s="68" t="s">
        <v>15</v>
      </c>
      <c r="D9" s="40">
        <v>100</v>
      </c>
      <c r="E9" s="70">
        <v>0</v>
      </c>
      <c r="F9" s="69"/>
      <c r="G9" s="70"/>
      <c r="H9" s="71"/>
      <c r="I9" s="72"/>
      <c r="J9" s="44">
        <v>150</v>
      </c>
      <c r="K9" s="70">
        <v>500</v>
      </c>
      <c r="L9" s="73">
        <v>300</v>
      </c>
      <c r="M9" s="74">
        <v>0</v>
      </c>
      <c r="N9" s="69">
        <v>300</v>
      </c>
      <c r="O9" s="70">
        <v>0</v>
      </c>
      <c r="P9" s="73">
        <v>300</v>
      </c>
      <c r="Q9" s="74">
        <v>0</v>
      </c>
      <c r="R9" s="69">
        <v>300</v>
      </c>
      <c r="S9" s="70">
        <v>500</v>
      </c>
      <c r="T9" s="75"/>
      <c r="U9" s="76"/>
      <c r="V9" s="77">
        <f>J9+L9+N9+P9+R9</f>
        <v>1350</v>
      </c>
      <c r="W9" s="6">
        <f>K9+M9+O9+Q9+S9+U9</f>
        <v>1000</v>
      </c>
      <c r="X9" s="44">
        <v>111</v>
      </c>
      <c r="Y9" s="81">
        <v>750</v>
      </c>
      <c r="Z9" s="69">
        <v>300</v>
      </c>
      <c r="AA9" s="81"/>
      <c r="AB9" s="69"/>
      <c r="AC9" s="81"/>
      <c r="AD9" s="69"/>
      <c r="AE9" s="70"/>
      <c r="AF9" s="69"/>
      <c r="AG9" s="78"/>
      <c r="AH9" s="77">
        <f>V9+X9+Z9+AB9+AD9</f>
        <v>1761</v>
      </c>
      <c r="AI9" s="6">
        <f>Y9+AA9+AC9+AE9+AG9</f>
        <v>750</v>
      </c>
      <c r="AJ9" s="7">
        <v>3000</v>
      </c>
      <c r="AK9" s="8">
        <f t="shared" si="6"/>
        <v>1861</v>
      </c>
      <c r="AL9" s="8">
        <f t="shared" si="7"/>
        <v>1750</v>
      </c>
      <c r="AM9" s="9">
        <f t="shared" si="5"/>
        <v>-111</v>
      </c>
      <c r="AN9" s="79"/>
      <c r="AO9" s="80"/>
    </row>
    <row r="10" spans="1:41" ht="19.5" thickBot="1" x14ac:dyDescent="0.3">
      <c r="A10" s="151">
        <v>3</v>
      </c>
      <c r="B10" s="139" t="s">
        <v>17</v>
      </c>
      <c r="C10" s="82" t="s">
        <v>13</v>
      </c>
      <c r="D10" s="40">
        <v>100</v>
      </c>
      <c r="E10" s="84">
        <v>201</v>
      </c>
      <c r="F10" s="83"/>
      <c r="G10" s="84">
        <v>200</v>
      </c>
      <c r="H10" s="85"/>
      <c r="I10" s="86">
        <v>500</v>
      </c>
      <c r="J10" s="44">
        <v>150</v>
      </c>
      <c r="K10" s="84"/>
      <c r="L10" s="87">
        <v>300</v>
      </c>
      <c r="M10" s="88">
        <v>74</v>
      </c>
      <c r="N10" s="83">
        <v>300</v>
      </c>
      <c r="O10" s="84">
        <v>378</v>
      </c>
      <c r="P10" s="87">
        <v>300</v>
      </c>
      <c r="Q10" s="88">
        <v>108</v>
      </c>
      <c r="R10" s="83">
        <v>300</v>
      </c>
      <c r="S10" s="84">
        <v>108</v>
      </c>
      <c r="T10" s="89"/>
      <c r="U10" s="90">
        <v>845</v>
      </c>
      <c r="V10" s="91">
        <f>J10+L10+N10+P10+R10</f>
        <v>1350</v>
      </c>
      <c r="W10" s="92">
        <f t="shared" ref="W10:W15" si="8">K10+M10+O10+Q10+S10+U10</f>
        <v>1513</v>
      </c>
      <c r="X10" s="44">
        <v>111</v>
      </c>
      <c r="Y10" s="41">
        <v>108</v>
      </c>
      <c r="Z10" s="93">
        <v>300</v>
      </c>
      <c r="AA10" s="41"/>
      <c r="AB10" s="93">
        <v>300</v>
      </c>
      <c r="AC10" s="41"/>
      <c r="AD10" s="93">
        <v>300</v>
      </c>
      <c r="AE10" s="41"/>
      <c r="AF10" s="93">
        <v>150</v>
      </c>
      <c r="AG10" s="41"/>
      <c r="AH10" s="91">
        <f>V10+X10+Z10+AB10+AD10</f>
        <v>2361</v>
      </c>
      <c r="AI10" s="92">
        <f t="shared" ref="AI10:AI15" si="9">Y10+AA10+AC10+AE10+AG10</f>
        <v>108</v>
      </c>
      <c r="AJ10" s="10">
        <v>4800</v>
      </c>
      <c r="AK10" s="94">
        <f t="shared" si="6"/>
        <v>2611</v>
      </c>
      <c r="AL10" s="94">
        <f t="shared" si="7"/>
        <v>2522</v>
      </c>
      <c r="AM10" s="11">
        <f t="shared" si="5"/>
        <v>-89</v>
      </c>
      <c r="AN10" s="95"/>
      <c r="AO10" s="96"/>
    </row>
    <row r="11" spans="1:41" ht="19.5" thickBot="1" x14ac:dyDescent="0.3">
      <c r="A11" s="145"/>
      <c r="B11" s="126"/>
      <c r="C11" s="23" t="s">
        <v>14</v>
      </c>
      <c r="D11" s="40">
        <v>100</v>
      </c>
      <c r="E11" s="55">
        <v>201</v>
      </c>
      <c r="F11" s="54"/>
      <c r="G11" s="55">
        <v>200</v>
      </c>
      <c r="H11" s="56"/>
      <c r="I11" s="57">
        <v>500</v>
      </c>
      <c r="J11" s="44">
        <v>150</v>
      </c>
      <c r="K11" s="55"/>
      <c r="L11" s="58">
        <v>300</v>
      </c>
      <c r="M11" s="59">
        <v>0</v>
      </c>
      <c r="N11" s="54">
        <v>300</v>
      </c>
      <c r="O11" s="55">
        <v>0</v>
      </c>
      <c r="P11" s="58">
        <v>300</v>
      </c>
      <c r="Q11" s="59">
        <v>510</v>
      </c>
      <c r="R11" s="54">
        <v>300</v>
      </c>
      <c r="S11" s="55">
        <v>108</v>
      </c>
      <c r="T11" s="60"/>
      <c r="U11" s="61">
        <v>155</v>
      </c>
      <c r="V11" s="62">
        <f t="shared" ref="V11:V15" si="10">J11+L11+N11+P11+R11</f>
        <v>1350</v>
      </c>
      <c r="W11" s="63">
        <f t="shared" si="8"/>
        <v>773</v>
      </c>
      <c r="X11" s="44">
        <v>111</v>
      </c>
      <c r="Y11" s="55">
        <v>108</v>
      </c>
      <c r="Z11" s="97">
        <v>300</v>
      </c>
      <c r="AA11" s="55"/>
      <c r="AB11" s="97">
        <v>300</v>
      </c>
      <c r="AC11" s="55"/>
      <c r="AD11" s="97">
        <v>300</v>
      </c>
      <c r="AE11" s="55"/>
      <c r="AF11" s="97">
        <v>150</v>
      </c>
      <c r="AG11" s="55"/>
      <c r="AH11" s="62">
        <f t="shared" ref="AH11:AH12" si="11">V11+X11+Z11+AB11+AD11</f>
        <v>2361</v>
      </c>
      <c r="AI11" s="63">
        <f t="shared" si="9"/>
        <v>108</v>
      </c>
      <c r="AJ11" s="4">
        <v>4800</v>
      </c>
      <c r="AK11" s="65">
        <f t="shared" si="6"/>
        <v>2611</v>
      </c>
      <c r="AL11" s="65">
        <f>G11+I11+K11+M11+O11+Q11+S11+U11+Y11+AA11+AC11+AE11+AG11+E11</f>
        <v>1782</v>
      </c>
      <c r="AM11" s="5">
        <f t="shared" si="5"/>
        <v>-829</v>
      </c>
      <c r="AN11" s="66"/>
      <c r="AO11" s="67"/>
    </row>
    <row r="12" spans="1:41" ht="19.5" thickBot="1" x14ac:dyDescent="0.35">
      <c r="A12" s="145"/>
      <c r="B12" s="126"/>
      <c r="C12" s="98" t="s">
        <v>15</v>
      </c>
      <c r="D12" s="40">
        <v>100</v>
      </c>
      <c r="E12" s="99">
        <v>201</v>
      </c>
      <c r="F12" s="97"/>
      <c r="G12" s="99">
        <v>200</v>
      </c>
      <c r="H12" s="100"/>
      <c r="I12" s="101">
        <v>500</v>
      </c>
      <c r="J12" s="44">
        <v>150</v>
      </c>
      <c r="K12" s="99"/>
      <c r="L12" s="102">
        <v>300</v>
      </c>
      <c r="M12" s="103">
        <v>0</v>
      </c>
      <c r="N12" s="97">
        <v>300</v>
      </c>
      <c r="O12" s="99">
        <v>0</v>
      </c>
      <c r="P12" s="102">
        <v>300</v>
      </c>
      <c r="Q12" s="103">
        <v>510</v>
      </c>
      <c r="R12" s="97">
        <v>300</v>
      </c>
      <c r="S12" s="99">
        <v>0</v>
      </c>
      <c r="T12" s="104"/>
      <c r="U12" s="105"/>
      <c r="V12" s="106">
        <f t="shared" si="10"/>
        <v>1350</v>
      </c>
      <c r="W12" s="12">
        <f t="shared" si="8"/>
        <v>510</v>
      </c>
      <c r="X12" s="44">
        <v>111</v>
      </c>
      <c r="Y12" s="70"/>
      <c r="Z12" s="69">
        <v>300</v>
      </c>
      <c r="AA12" s="70"/>
      <c r="AB12" s="69">
        <v>300</v>
      </c>
      <c r="AC12" s="70"/>
      <c r="AD12" s="69">
        <v>300</v>
      </c>
      <c r="AE12" s="81"/>
      <c r="AF12" s="69">
        <v>150</v>
      </c>
      <c r="AG12" s="81"/>
      <c r="AH12" s="106">
        <f t="shared" si="11"/>
        <v>2361</v>
      </c>
      <c r="AI12" s="6">
        <f t="shared" si="9"/>
        <v>0</v>
      </c>
      <c r="AJ12" s="13">
        <v>4800</v>
      </c>
      <c r="AK12" s="14">
        <f>F12+H12+J12+L12+N12+P12+R12+T12+X12+Z12+AB12+AD12+AF12+D12</f>
        <v>2611</v>
      </c>
      <c r="AL12" s="14">
        <f t="shared" si="7"/>
        <v>1411</v>
      </c>
      <c r="AM12" s="15">
        <f>AL12-AK12</f>
        <v>-1200</v>
      </c>
      <c r="AN12" s="107"/>
      <c r="AO12" s="108"/>
    </row>
    <row r="13" spans="1:41" ht="19.5" thickBot="1" x14ac:dyDescent="0.3">
      <c r="A13" s="144">
        <v>4</v>
      </c>
      <c r="B13" s="147" t="s">
        <v>18</v>
      </c>
      <c r="C13" s="39" t="s">
        <v>13</v>
      </c>
      <c r="D13" s="40">
        <v>100</v>
      </c>
      <c r="E13" s="41">
        <v>301</v>
      </c>
      <c r="F13" s="40"/>
      <c r="G13" s="41">
        <v>500</v>
      </c>
      <c r="H13" s="42"/>
      <c r="I13" s="43">
        <v>200</v>
      </c>
      <c r="J13" s="44">
        <v>150</v>
      </c>
      <c r="K13" s="41">
        <v>200</v>
      </c>
      <c r="L13" s="44">
        <v>200</v>
      </c>
      <c r="M13" s="45">
        <v>401</v>
      </c>
      <c r="N13" s="40">
        <v>200</v>
      </c>
      <c r="O13" s="41">
        <v>216</v>
      </c>
      <c r="P13" s="44">
        <v>200</v>
      </c>
      <c r="Q13" s="45">
        <v>562</v>
      </c>
      <c r="R13" s="40">
        <v>200</v>
      </c>
      <c r="S13" s="41">
        <v>562</v>
      </c>
      <c r="T13" s="46"/>
      <c r="U13" s="47"/>
      <c r="V13" s="48">
        <f>J13+L13+N13+P13+R13</f>
        <v>950</v>
      </c>
      <c r="W13" s="49">
        <f t="shared" si="8"/>
        <v>1941</v>
      </c>
      <c r="X13" s="44">
        <v>111</v>
      </c>
      <c r="Y13" s="41">
        <v>562</v>
      </c>
      <c r="Z13" s="93">
        <v>200</v>
      </c>
      <c r="AA13" s="41"/>
      <c r="AB13" s="93">
        <v>300</v>
      </c>
      <c r="AC13" s="41"/>
      <c r="AD13" s="93">
        <v>200</v>
      </c>
      <c r="AE13" s="41"/>
      <c r="AF13" s="93">
        <v>150</v>
      </c>
      <c r="AG13" s="41"/>
      <c r="AH13" s="48">
        <f>V13+X13+Z13+AB13+AD13</f>
        <v>1761</v>
      </c>
      <c r="AI13" s="49">
        <f t="shared" si="9"/>
        <v>562</v>
      </c>
      <c r="AJ13" s="2">
        <v>3400</v>
      </c>
      <c r="AK13" s="51">
        <f t="shared" si="6"/>
        <v>2011</v>
      </c>
      <c r="AL13" s="51">
        <f t="shared" si="7"/>
        <v>3504</v>
      </c>
      <c r="AM13" s="3">
        <f t="shared" si="5"/>
        <v>1493</v>
      </c>
      <c r="AN13" s="52"/>
      <c r="AO13" s="53"/>
    </row>
    <row r="14" spans="1:41" ht="19.5" thickBot="1" x14ac:dyDescent="0.3">
      <c r="A14" s="145"/>
      <c r="B14" s="126"/>
      <c r="C14" s="23" t="s">
        <v>14</v>
      </c>
      <c r="D14" s="40">
        <v>100</v>
      </c>
      <c r="E14" s="55">
        <v>301</v>
      </c>
      <c r="F14" s="54"/>
      <c r="G14" s="55">
        <v>500</v>
      </c>
      <c r="H14" s="56"/>
      <c r="I14" s="57">
        <v>200</v>
      </c>
      <c r="J14" s="44">
        <v>150</v>
      </c>
      <c r="K14" s="55"/>
      <c r="L14" s="58">
        <v>200</v>
      </c>
      <c r="M14" s="59"/>
      <c r="N14" s="54">
        <v>200</v>
      </c>
      <c r="O14" s="55">
        <v>500</v>
      </c>
      <c r="P14" s="58">
        <v>200</v>
      </c>
      <c r="Q14" s="59">
        <v>562</v>
      </c>
      <c r="R14" s="54">
        <v>200</v>
      </c>
      <c r="S14" s="55">
        <v>562</v>
      </c>
      <c r="T14" s="60"/>
      <c r="U14" s="61">
        <v>10</v>
      </c>
      <c r="V14" s="62">
        <f t="shared" si="10"/>
        <v>950</v>
      </c>
      <c r="W14" s="63">
        <f t="shared" si="8"/>
        <v>1634</v>
      </c>
      <c r="X14" s="44">
        <v>111</v>
      </c>
      <c r="Y14" s="55">
        <v>562</v>
      </c>
      <c r="Z14" s="97">
        <v>200</v>
      </c>
      <c r="AA14" s="55"/>
      <c r="AB14" s="97">
        <v>300</v>
      </c>
      <c r="AC14" s="55"/>
      <c r="AD14" s="97">
        <v>200</v>
      </c>
      <c r="AE14" s="55"/>
      <c r="AF14" s="97">
        <v>150</v>
      </c>
      <c r="AG14" s="55"/>
      <c r="AH14" s="62">
        <f t="shared" ref="AH14:AH15" si="12">V14+X14+Z14+AB14+AD14</f>
        <v>1761</v>
      </c>
      <c r="AI14" s="63">
        <f t="shared" si="9"/>
        <v>562</v>
      </c>
      <c r="AJ14" s="4">
        <v>3400</v>
      </c>
      <c r="AK14" s="65">
        <f t="shared" si="6"/>
        <v>2011</v>
      </c>
      <c r="AL14" s="65">
        <f t="shared" si="7"/>
        <v>3197</v>
      </c>
      <c r="AM14" s="5">
        <f t="shared" si="5"/>
        <v>1186</v>
      </c>
      <c r="AN14" s="66"/>
      <c r="AO14" s="67"/>
    </row>
    <row r="15" spans="1:41" ht="19.5" thickBot="1" x14ac:dyDescent="0.35">
      <c r="A15" s="146"/>
      <c r="B15" s="148"/>
      <c r="C15" s="68" t="s">
        <v>15</v>
      </c>
      <c r="D15" s="40">
        <v>100</v>
      </c>
      <c r="E15" s="70">
        <v>301</v>
      </c>
      <c r="F15" s="69"/>
      <c r="G15" s="70">
        <v>500</v>
      </c>
      <c r="H15" s="71"/>
      <c r="I15" s="72">
        <v>200</v>
      </c>
      <c r="J15" s="44">
        <v>150</v>
      </c>
      <c r="K15" s="70"/>
      <c r="L15" s="73">
        <v>200</v>
      </c>
      <c r="M15" s="74"/>
      <c r="N15" s="69">
        <v>200</v>
      </c>
      <c r="O15" s="70">
        <v>500</v>
      </c>
      <c r="P15" s="73">
        <v>200</v>
      </c>
      <c r="Q15" s="74"/>
      <c r="R15" s="69">
        <v>200</v>
      </c>
      <c r="S15" s="70">
        <v>0</v>
      </c>
      <c r="T15" s="75"/>
      <c r="U15" s="76">
        <v>10</v>
      </c>
      <c r="V15" s="77">
        <f t="shared" si="10"/>
        <v>950</v>
      </c>
      <c r="W15" s="6">
        <f t="shared" si="8"/>
        <v>510</v>
      </c>
      <c r="X15" s="44">
        <v>111</v>
      </c>
      <c r="Y15" s="70"/>
      <c r="Z15" s="69">
        <v>200</v>
      </c>
      <c r="AA15" s="81"/>
      <c r="AB15" s="69">
        <v>200</v>
      </c>
      <c r="AC15" s="70"/>
      <c r="AD15" s="69">
        <v>200</v>
      </c>
      <c r="AE15" s="81"/>
      <c r="AF15" s="69">
        <v>150</v>
      </c>
      <c r="AG15" s="81"/>
      <c r="AH15" s="77">
        <f t="shared" si="12"/>
        <v>1661</v>
      </c>
      <c r="AI15" s="6">
        <f t="shared" si="9"/>
        <v>0</v>
      </c>
      <c r="AJ15" s="7">
        <v>3400</v>
      </c>
      <c r="AK15" s="8">
        <f t="shared" si="6"/>
        <v>1911</v>
      </c>
      <c r="AL15" s="8">
        <f t="shared" si="7"/>
        <v>1511</v>
      </c>
      <c r="AM15" s="9">
        <f t="shared" si="5"/>
        <v>-400</v>
      </c>
      <c r="AN15" s="79"/>
      <c r="AO15" s="80"/>
    </row>
    <row r="16" spans="1:41" ht="18.75" x14ac:dyDescent="0.3">
      <c r="A16" s="139">
        <v>5</v>
      </c>
      <c r="B16" s="139"/>
      <c r="C16" s="82" t="s">
        <v>13</v>
      </c>
      <c r="D16" s="83"/>
      <c r="E16" s="84"/>
      <c r="F16" s="83"/>
      <c r="G16" s="84"/>
      <c r="H16" s="85"/>
      <c r="I16" s="86"/>
      <c r="J16" s="87"/>
      <c r="K16" s="84"/>
      <c r="L16" s="87"/>
      <c r="M16" s="88"/>
      <c r="N16" s="83"/>
      <c r="O16" s="84"/>
      <c r="P16" s="87"/>
      <c r="Q16" s="88"/>
      <c r="R16" s="83"/>
      <c r="S16" s="84"/>
      <c r="T16" s="89"/>
      <c r="U16" s="90"/>
      <c r="V16" s="91"/>
      <c r="W16" s="92"/>
      <c r="X16" s="87"/>
      <c r="Y16" s="84"/>
      <c r="Z16" s="83"/>
      <c r="AA16" s="84"/>
      <c r="AB16" s="83"/>
      <c r="AC16" s="84"/>
      <c r="AD16" s="83"/>
      <c r="AE16" s="84"/>
      <c r="AF16" s="83"/>
      <c r="AG16" s="109"/>
      <c r="AH16" s="91"/>
      <c r="AI16" s="92"/>
      <c r="AJ16" s="110"/>
      <c r="AK16" s="94">
        <f t="shared" si="6"/>
        <v>0</v>
      </c>
      <c r="AL16" s="16">
        <f t="shared" si="7"/>
        <v>0</v>
      </c>
      <c r="AM16" s="94">
        <f t="shared" si="5"/>
        <v>0</v>
      </c>
      <c r="AN16" s="95"/>
      <c r="AO16" s="111"/>
    </row>
    <row r="17" spans="1:41" ht="18.75" x14ac:dyDescent="0.3">
      <c r="A17" s="126"/>
      <c r="B17" s="126"/>
      <c r="C17" s="23" t="s">
        <v>14</v>
      </c>
      <c r="D17" s="54"/>
      <c r="E17" s="55"/>
      <c r="F17" s="54"/>
      <c r="G17" s="55"/>
      <c r="H17" s="56"/>
      <c r="I17" s="57"/>
      <c r="J17" s="58"/>
      <c r="K17" s="55"/>
      <c r="L17" s="58"/>
      <c r="M17" s="59"/>
      <c r="N17" s="54"/>
      <c r="O17" s="55"/>
      <c r="P17" s="58"/>
      <c r="Q17" s="59"/>
      <c r="R17" s="54"/>
      <c r="S17" s="55"/>
      <c r="T17" s="60"/>
      <c r="U17" s="61"/>
      <c r="V17" s="62"/>
      <c r="W17" s="63"/>
      <c r="X17" s="58"/>
      <c r="Y17" s="55"/>
      <c r="Z17" s="54"/>
      <c r="AA17" s="55"/>
      <c r="AB17" s="54"/>
      <c r="AC17" s="55"/>
      <c r="AD17" s="54"/>
      <c r="AE17" s="55"/>
      <c r="AF17" s="54"/>
      <c r="AG17" s="64"/>
      <c r="AH17" s="62"/>
      <c r="AI17" s="63"/>
      <c r="AJ17" s="112"/>
      <c r="AK17" s="65">
        <f t="shared" si="6"/>
        <v>0</v>
      </c>
      <c r="AL17" s="17">
        <f t="shared" si="7"/>
        <v>0</v>
      </c>
      <c r="AM17" s="65">
        <f t="shared" si="5"/>
        <v>0</v>
      </c>
      <c r="AN17" s="66"/>
      <c r="AO17" s="22"/>
    </row>
    <row r="18" spans="1:41" ht="18.75" x14ac:dyDescent="0.3">
      <c r="A18" s="139"/>
      <c r="B18" s="139"/>
      <c r="C18" s="23" t="s">
        <v>15</v>
      </c>
      <c r="D18" s="54"/>
      <c r="E18" s="55"/>
      <c r="F18" s="54"/>
      <c r="G18" s="55"/>
      <c r="H18" s="56"/>
      <c r="I18" s="57"/>
      <c r="J18" s="58"/>
      <c r="K18" s="55"/>
      <c r="L18" s="58"/>
      <c r="M18" s="59"/>
      <c r="N18" s="54"/>
      <c r="O18" s="55"/>
      <c r="P18" s="58"/>
      <c r="Q18" s="59"/>
      <c r="R18" s="54"/>
      <c r="S18" s="55"/>
      <c r="T18" s="60"/>
      <c r="U18" s="61"/>
      <c r="V18" s="62"/>
      <c r="W18" s="63"/>
      <c r="X18" s="58"/>
      <c r="Y18" s="55"/>
      <c r="Z18" s="54"/>
      <c r="AA18" s="55"/>
      <c r="AB18" s="54"/>
      <c r="AC18" s="55"/>
      <c r="AD18" s="54"/>
      <c r="AE18" s="55"/>
      <c r="AF18" s="54"/>
      <c r="AG18" s="64"/>
      <c r="AH18" s="62"/>
      <c r="AI18" s="63"/>
      <c r="AJ18" s="112"/>
      <c r="AK18" s="65">
        <f t="shared" si="6"/>
        <v>0</v>
      </c>
      <c r="AL18" s="17">
        <f t="shared" si="7"/>
        <v>0</v>
      </c>
      <c r="AM18" s="65">
        <f t="shared" si="5"/>
        <v>0</v>
      </c>
      <c r="AN18" s="66"/>
      <c r="AO18" s="22"/>
    </row>
    <row r="19" spans="1:41" ht="18.75" x14ac:dyDescent="0.3">
      <c r="A19" s="125">
        <v>6</v>
      </c>
      <c r="B19" s="125"/>
      <c r="C19" s="23" t="s">
        <v>13</v>
      </c>
      <c r="D19" s="54"/>
      <c r="E19" s="55"/>
      <c r="F19" s="54"/>
      <c r="G19" s="55"/>
      <c r="H19" s="56"/>
      <c r="I19" s="57"/>
      <c r="J19" s="58"/>
      <c r="K19" s="55"/>
      <c r="L19" s="58"/>
      <c r="M19" s="59"/>
      <c r="N19" s="54"/>
      <c r="O19" s="55"/>
      <c r="P19" s="58"/>
      <c r="Q19" s="59"/>
      <c r="R19" s="54"/>
      <c r="S19" s="55"/>
      <c r="T19" s="60"/>
      <c r="U19" s="61"/>
      <c r="V19" s="62"/>
      <c r="W19" s="63"/>
      <c r="X19" s="58"/>
      <c r="Y19" s="55"/>
      <c r="Z19" s="54"/>
      <c r="AA19" s="55"/>
      <c r="AB19" s="54"/>
      <c r="AC19" s="55"/>
      <c r="AD19" s="54"/>
      <c r="AE19" s="55"/>
      <c r="AF19" s="54"/>
      <c r="AG19" s="64"/>
      <c r="AH19" s="62"/>
      <c r="AI19" s="63"/>
      <c r="AJ19" s="112"/>
      <c r="AK19" s="65">
        <f t="shared" si="6"/>
        <v>0</v>
      </c>
      <c r="AL19" s="17">
        <f t="shared" si="7"/>
        <v>0</v>
      </c>
      <c r="AM19" s="65">
        <f t="shared" si="5"/>
        <v>0</v>
      </c>
      <c r="AN19" s="66"/>
      <c r="AO19" s="22"/>
    </row>
    <row r="20" spans="1:41" ht="18.75" x14ac:dyDescent="0.3">
      <c r="A20" s="126"/>
      <c r="B20" s="126"/>
      <c r="C20" s="23" t="s">
        <v>14</v>
      </c>
      <c r="D20" s="54"/>
      <c r="E20" s="55"/>
      <c r="F20" s="54"/>
      <c r="G20" s="55"/>
      <c r="H20" s="56"/>
      <c r="I20" s="57"/>
      <c r="J20" s="58"/>
      <c r="K20" s="55"/>
      <c r="L20" s="58"/>
      <c r="M20" s="59"/>
      <c r="N20" s="54"/>
      <c r="O20" s="55"/>
      <c r="P20" s="58"/>
      <c r="Q20" s="59"/>
      <c r="R20" s="54"/>
      <c r="S20" s="55"/>
      <c r="T20" s="60"/>
      <c r="U20" s="61"/>
      <c r="V20" s="62"/>
      <c r="W20" s="63"/>
      <c r="X20" s="58"/>
      <c r="Y20" s="55"/>
      <c r="Z20" s="54"/>
      <c r="AA20" s="55"/>
      <c r="AB20" s="54"/>
      <c r="AC20" s="55"/>
      <c r="AD20" s="54"/>
      <c r="AE20" s="55"/>
      <c r="AF20" s="54"/>
      <c r="AG20" s="64"/>
      <c r="AH20" s="62"/>
      <c r="AI20" s="63"/>
      <c r="AJ20" s="112"/>
      <c r="AK20" s="65">
        <f t="shared" si="6"/>
        <v>0</v>
      </c>
      <c r="AL20" s="17">
        <f t="shared" si="7"/>
        <v>0</v>
      </c>
      <c r="AM20" s="65">
        <f t="shared" si="5"/>
        <v>0</v>
      </c>
      <c r="AN20" s="66"/>
      <c r="AO20" s="22"/>
    </row>
    <row r="21" spans="1:41" ht="18.75" x14ac:dyDescent="0.3">
      <c r="A21" s="139"/>
      <c r="B21" s="139"/>
      <c r="C21" s="23" t="s">
        <v>15</v>
      </c>
      <c r="D21" s="54"/>
      <c r="E21" s="55"/>
      <c r="F21" s="54"/>
      <c r="G21" s="55"/>
      <c r="H21" s="56"/>
      <c r="I21" s="57"/>
      <c r="J21" s="58"/>
      <c r="K21" s="55"/>
      <c r="L21" s="58"/>
      <c r="M21" s="59"/>
      <c r="N21" s="54"/>
      <c r="O21" s="55"/>
      <c r="P21" s="58"/>
      <c r="Q21" s="59"/>
      <c r="R21" s="54"/>
      <c r="S21" s="55"/>
      <c r="T21" s="60"/>
      <c r="U21" s="61"/>
      <c r="V21" s="62"/>
      <c r="W21" s="63"/>
      <c r="X21" s="58"/>
      <c r="Y21" s="55"/>
      <c r="Z21" s="54"/>
      <c r="AA21" s="55"/>
      <c r="AB21" s="54"/>
      <c r="AC21" s="55"/>
      <c r="AD21" s="54"/>
      <c r="AE21" s="55"/>
      <c r="AF21" s="54"/>
      <c r="AG21" s="64"/>
      <c r="AH21" s="62"/>
      <c r="AI21" s="63"/>
      <c r="AJ21" s="112"/>
      <c r="AK21" s="65">
        <f t="shared" si="6"/>
        <v>0</v>
      </c>
      <c r="AL21" s="17">
        <f t="shared" si="7"/>
        <v>0</v>
      </c>
      <c r="AM21" s="65">
        <f t="shared" si="5"/>
        <v>0</v>
      </c>
      <c r="AN21" s="66"/>
      <c r="AO21" s="22"/>
    </row>
    <row r="22" spans="1:41" ht="18.75" x14ac:dyDescent="0.3">
      <c r="A22" s="125">
        <v>7</v>
      </c>
      <c r="B22" s="125"/>
      <c r="C22" s="23" t="s">
        <v>13</v>
      </c>
      <c r="D22" s="54"/>
      <c r="E22" s="55"/>
      <c r="F22" s="54"/>
      <c r="G22" s="55"/>
      <c r="H22" s="56"/>
      <c r="I22" s="57"/>
      <c r="J22" s="58"/>
      <c r="K22" s="55"/>
      <c r="L22" s="58"/>
      <c r="M22" s="59"/>
      <c r="N22" s="54"/>
      <c r="O22" s="55"/>
      <c r="P22" s="58"/>
      <c r="Q22" s="59"/>
      <c r="R22" s="54"/>
      <c r="S22" s="55"/>
      <c r="T22" s="60"/>
      <c r="U22" s="61"/>
      <c r="V22" s="62"/>
      <c r="W22" s="63"/>
      <c r="X22" s="58"/>
      <c r="Y22" s="55"/>
      <c r="Z22" s="54"/>
      <c r="AA22" s="55"/>
      <c r="AB22" s="54"/>
      <c r="AC22" s="55"/>
      <c r="AD22" s="54"/>
      <c r="AE22" s="55"/>
      <c r="AF22" s="54"/>
      <c r="AG22" s="64"/>
      <c r="AH22" s="62"/>
      <c r="AI22" s="63"/>
      <c r="AJ22" s="112"/>
      <c r="AK22" s="65">
        <f t="shared" si="6"/>
        <v>0</v>
      </c>
      <c r="AL22" s="17">
        <f t="shared" si="7"/>
        <v>0</v>
      </c>
      <c r="AM22" s="65">
        <f t="shared" si="5"/>
        <v>0</v>
      </c>
      <c r="AN22" s="66"/>
      <c r="AO22" s="22"/>
    </row>
    <row r="23" spans="1:41" ht="18.75" x14ac:dyDescent="0.3">
      <c r="A23" s="126"/>
      <c r="B23" s="126"/>
      <c r="C23" s="23" t="s">
        <v>14</v>
      </c>
      <c r="D23" s="54"/>
      <c r="E23" s="55"/>
      <c r="F23" s="54"/>
      <c r="G23" s="55"/>
      <c r="H23" s="56"/>
      <c r="I23" s="57"/>
      <c r="J23" s="58"/>
      <c r="K23" s="55"/>
      <c r="L23" s="58"/>
      <c r="M23" s="59"/>
      <c r="N23" s="54"/>
      <c r="O23" s="55"/>
      <c r="P23" s="58"/>
      <c r="Q23" s="59"/>
      <c r="R23" s="54"/>
      <c r="S23" s="55"/>
      <c r="T23" s="60"/>
      <c r="U23" s="61"/>
      <c r="V23" s="62"/>
      <c r="W23" s="63"/>
      <c r="X23" s="58"/>
      <c r="Y23" s="55"/>
      <c r="Z23" s="54"/>
      <c r="AA23" s="55"/>
      <c r="AB23" s="54"/>
      <c r="AC23" s="55"/>
      <c r="AD23" s="54"/>
      <c r="AE23" s="55"/>
      <c r="AF23" s="54"/>
      <c r="AG23" s="64"/>
      <c r="AH23" s="62"/>
      <c r="AI23" s="63"/>
      <c r="AJ23" s="112"/>
      <c r="AK23" s="65">
        <f t="shared" si="6"/>
        <v>0</v>
      </c>
      <c r="AL23" s="17">
        <f t="shared" si="7"/>
        <v>0</v>
      </c>
      <c r="AM23" s="65">
        <f t="shared" si="5"/>
        <v>0</v>
      </c>
      <c r="AN23" s="66"/>
      <c r="AO23" s="22"/>
    </row>
    <row r="24" spans="1:41" ht="18.75" x14ac:dyDescent="0.3">
      <c r="A24" s="139"/>
      <c r="B24" s="139"/>
      <c r="C24" s="23" t="s">
        <v>15</v>
      </c>
      <c r="D24" s="54"/>
      <c r="E24" s="55"/>
      <c r="F24" s="54"/>
      <c r="G24" s="55"/>
      <c r="H24" s="56"/>
      <c r="I24" s="57"/>
      <c r="J24" s="58"/>
      <c r="K24" s="55"/>
      <c r="L24" s="58"/>
      <c r="M24" s="59"/>
      <c r="N24" s="54"/>
      <c r="O24" s="55"/>
      <c r="P24" s="58"/>
      <c r="Q24" s="59"/>
      <c r="R24" s="54"/>
      <c r="S24" s="55"/>
      <c r="T24" s="60"/>
      <c r="U24" s="61"/>
      <c r="V24" s="62"/>
      <c r="W24" s="63"/>
      <c r="X24" s="58"/>
      <c r="Y24" s="55"/>
      <c r="Z24" s="54"/>
      <c r="AA24" s="55"/>
      <c r="AB24" s="54"/>
      <c r="AC24" s="55"/>
      <c r="AD24" s="54"/>
      <c r="AE24" s="55"/>
      <c r="AF24" s="54"/>
      <c r="AG24" s="64"/>
      <c r="AH24" s="62"/>
      <c r="AI24" s="63"/>
      <c r="AJ24" s="112"/>
      <c r="AK24" s="65">
        <f t="shared" si="6"/>
        <v>0</v>
      </c>
      <c r="AL24" s="17">
        <f t="shared" si="7"/>
        <v>0</v>
      </c>
      <c r="AM24" s="65">
        <f t="shared" si="5"/>
        <v>0</v>
      </c>
      <c r="AN24" s="66"/>
      <c r="AO24" s="22"/>
    </row>
    <row r="25" spans="1:41" ht="18.75" x14ac:dyDescent="0.3">
      <c r="A25" s="125">
        <v>8</v>
      </c>
      <c r="B25" s="125"/>
      <c r="C25" s="23" t="s">
        <v>13</v>
      </c>
      <c r="D25" s="54"/>
      <c r="E25" s="55"/>
      <c r="F25" s="54"/>
      <c r="G25" s="55"/>
      <c r="H25" s="56"/>
      <c r="I25" s="57"/>
      <c r="J25" s="58"/>
      <c r="K25" s="55"/>
      <c r="L25" s="58"/>
      <c r="M25" s="59"/>
      <c r="N25" s="54"/>
      <c r="O25" s="55"/>
      <c r="P25" s="58"/>
      <c r="Q25" s="59"/>
      <c r="R25" s="54"/>
      <c r="S25" s="55"/>
      <c r="T25" s="60"/>
      <c r="U25" s="61"/>
      <c r="V25" s="62"/>
      <c r="W25" s="63"/>
      <c r="X25" s="58"/>
      <c r="Y25" s="55"/>
      <c r="Z25" s="54"/>
      <c r="AA25" s="55"/>
      <c r="AB25" s="54"/>
      <c r="AC25" s="55"/>
      <c r="AD25" s="54"/>
      <c r="AE25" s="55"/>
      <c r="AF25" s="54"/>
      <c r="AG25" s="64"/>
      <c r="AH25" s="62"/>
      <c r="AI25" s="63"/>
      <c r="AJ25" s="112"/>
      <c r="AK25" s="65">
        <f t="shared" si="6"/>
        <v>0</v>
      </c>
      <c r="AL25" s="17">
        <f t="shared" si="7"/>
        <v>0</v>
      </c>
      <c r="AM25" s="65">
        <f t="shared" si="5"/>
        <v>0</v>
      </c>
      <c r="AN25" s="66"/>
      <c r="AO25" s="22"/>
    </row>
    <row r="26" spans="1:41" ht="18.75" x14ac:dyDescent="0.3">
      <c r="A26" s="126"/>
      <c r="B26" s="126"/>
      <c r="C26" s="23" t="s">
        <v>14</v>
      </c>
      <c r="D26" s="54"/>
      <c r="E26" s="55"/>
      <c r="F26" s="54"/>
      <c r="G26" s="55"/>
      <c r="H26" s="56"/>
      <c r="I26" s="57"/>
      <c r="J26" s="58"/>
      <c r="K26" s="55"/>
      <c r="L26" s="58"/>
      <c r="M26" s="59"/>
      <c r="N26" s="54"/>
      <c r="O26" s="55"/>
      <c r="P26" s="58"/>
      <c r="Q26" s="59"/>
      <c r="R26" s="54"/>
      <c r="S26" s="55"/>
      <c r="T26" s="60"/>
      <c r="U26" s="61"/>
      <c r="V26" s="62"/>
      <c r="W26" s="63"/>
      <c r="X26" s="58"/>
      <c r="Y26" s="55"/>
      <c r="Z26" s="54"/>
      <c r="AA26" s="55"/>
      <c r="AB26" s="54"/>
      <c r="AC26" s="55"/>
      <c r="AD26" s="54"/>
      <c r="AE26" s="55"/>
      <c r="AF26" s="54"/>
      <c r="AG26" s="64"/>
      <c r="AH26" s="62"/>
      <c r="AI26" s="63"/>
      <c r="AJ26" s="112"/>
      <c r="AK26" s="65">
        <f t="shared" si="6"/>
        <v>0</v>
      </c>
      <c r="AL26" s="17">
        <f t="shared" si="7"/>
        <v>0</v>
      </c>
      <c r="AM26" s="65">
        <f t="shared" si="5"/>
        <v>0</v>
      </c>
      <c r="AN26" s="66"/>
      <c r="AO26" s="22"/>
    </row>
    <row r="27" spans="1:41" ht="19.5" thickBot="1" x14ac:dyDescent="0.35">
      <c r="A27" s="126"/>
      <c r="B27" s="126"/>
      <c r="C27" s="98" t="s">
        <v>15</v>
      </c>
      <c r="D27" s="97"/>
      <c r="E27" s="99"/>
      <c r="F27" s="97"/>
      <c r="G27" s="99"/>
      <c r="H27" s="100"/>
      <c r="I27" s="101"/>
      <c r="J27" s="102"/>
      <c r="K27" s="99"/>
      <c r="L27" s="102"/>
      <c r="M27" s="103"/>
      <c r="N27" s="97"/>
      <c r="O27" s="99"/>
      <c r="P27" s="102"/>
      <c r="Q27" s="103"/>
      <c r="R27" s="97"/>
      <c r="S27" s="99"/>
      <c r="T27" s="104"/>
      <c r="U27" s="105"/>
      <c r="V27" s="106"/>
      <c r="W27" s="113"/>
      <c r="X27" s="102"/>
      <c r="Y27" s="99"/>
      <c r="Z27" s="97"/>
      <c r="AA27" s="99"/>
      <c r="AB27" s="97"/>
      <c r="AC27" s="99"/>
      <c r="AD27" s="97"/>
      <c r="AE27" s="99"/>
      <c r="AF27" s="97"/>
      <c r="AG27" s="114"/>
      <c r="AH27" s="106"/>
      <c r="AI27" s="113"/>
      <c r="AJ27" s="115"/>
      <c r="AK27" s="116">
        <f t="shared" si="6"/>
        <v>0</v>
      </c>
      <c r="AL27" s="14">
        <f t="shared" si="7"/>
        <v>0</v>
      </c>
      <c r="AM27" s="116">
        <f t="shared" si="5"/>
        <v>0</v>
      </c>
      <c r="AN27" s="107"/>
      <c r="AO27" s="25"/>
    </row>
    <row r="28" spans="1:41" ht="19.5" thickBot="1" x14ac:dyDescent="0.35">
      <c r="A28" s="117"/>
      <c r="B28" s="1" t="s">
        <v>19</v>
      </c>
      <c r="C28" s="118"/>
      <c r="D28" s="19">
        <f t="shared" ref="D28:R28" si="13">SUM(D6,D9,D12,D15)</f>
        <v>400</v>
      </c>
      <c r="E28" s="19">
        <f t="shared" si="13"/>
        <v>2497</v>
      </c>
      <c r="F28" s="19">
        <f t="shared" si="13"/>
        <v>0</v>
      </c>
      <c r="G28" s="19">
        <f t="shared" si="13"/>
        <v>700</v>
      </c>
      <c r="H28" s="19">
        <f t="shared" si="13"/>
        <v>0</v>
      </c>
      <c r="I28" s="19">
        <f t="shared" si="13"/>
        <v>700</v>
      </c>
      <c r="J28" s="19">
        <f t="shared" si="13"/>
        <v>450</v>
      </c>
      <c r="K28" s="19">
        <f t="shared" si="13"/>
        <v>500</v>
      </c>
      <c r="L28" s="19">
        <f t="shared" si="13"/>
        <v>800</v>
      </c>
      <c r="M28" s="19">
        <f t="shared" si="13"/>
        <v>500</v>
      </c>
      <c r="N28" s="19">
        <f t="shared" si="13"/>
        <v>800</v>
      </c>
      <c r="O28" s="19">
        <f t="shared" si="13"/>
        <v>500</v>
      </c>
      <c r="P28" s="19">
        <f t="shared" si="13"/>
        <v>800</v>
      </c>
      <c r="Q28" s="19">
        <f t="shared" si="13"/>
        <v>510</v>
      </c>
      <c r="R28" s="19">
        <f t="shared" si="13"/>
        <v>800</v>
      </c>
      <c r="S28" s="19">
        <f>SUM(S6,S9,S12,S15)</f>
        <v>500</v>
      </c>
      <c r="T28" s="20">
        <f t="shared" ref="T28:AM28" si="14">SUM(T6,T9,T12,T15)</f>
        <v>0</v>
      </c>
      <c r="U28" s="20">
        <f t="shared" si="14"/>
        <v>10</v>
      </c>
      <c r="V28" s="20">
        <f t="shared" si="14"/>
        <v>3650</v>
      </c>
      <c r="W28" s="20">
        <f t="shared" si="14"/>
        <v>2520</v>
      </c>
      <c r="X28" s="19">
        <f t="shared" si="14"/>
        <v>333</v>
      </c>
      <c r="Y28" s="19">
        <f t="shared" si="14"/>
        <v>750</v>
      </c>
      <c r="Z28" s="19">
        <f t="shared" si="14"/>
        <v>800</v>
      </c>
      <c r="AA28" s="19">
        <f t="shared" si="14"/>
        <v>0</v>
      </c>
      <c r="AB28" s="19">
        <f t="shared" si="14"/>
        <v>500</v>
      </c>
      <c r="AC28" s="19">
        <f t="shared" si="14"/>
        <v>0</v>
      </c>
      <c r="AD28" s="19">
        <f t="shared" si="14"/>
        <v>500</v>
      </c>
      <c r="AE28" s="19">
        <f t="shared" si="14"/>
        <v>0</v>
      </c>
      <c r="AF28" s="19">
        <f t="shared" si="14"/>
        <v>300</v>
      </c>
      <c r="AG28" s="19">
        <f>SUM(AG6,AG9,AG12,AG15)</f>
        <v>0</v>
      </c>
      <c r="AH28" s="20">
        <f t="shared" si="14"/>
        <v>5783</v>
      </c>
      <c r="AI28" s="20">
        <f>SUM(AI6,AI9,AI12,AI15)</f>
        <v>750</v>
      </c>
      <c r="AJ28" s="19">
        <f t="shared" si="14"/>
        <v>18000</v>
      </c>
      <c r="AK28" s="19">
        <f t="shared" si="14"/>
        <v>6483</v>
      </c>
      <c r="AL28" s="18">
        <f>SUM(AL6,AL9,AL12,AL15)</f>
        <v>7167</v>
      </c>
      <c r="AM28" s="19">
        <f t="shared" si="14"/>
        <v>684</v>
      </c>
      <c r="AN28" s="118"/>
      <c r="AO28" s="119"/>
    </row>
    <row r="29" spans="1:41" x14ac:dyDescent="0.25">
      <c r="A29" s="124" t="s">
        <v>20</v>
      </c>
      <c r="B29" s="124"/>
      <c r="C29" s="124"/>
      <c r="D29" s="124"/>
      <c r="E29" s="124"/>
      <c r="F29" s="124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x14ac:dyDescent="0.25">
      <c r="A30" s="123" t="s">
        <v>21</v>
      </c>
      <c r="B30" s="123"/>
      <c r="C30" s="123"/>
      <c r="D30" s="123"/>
      <c r="E30" s="123"/>
      <c r="F30" s="123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120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x14ac:dyDescent="0.25">
      <c r="A31" s="123" t="s">
        <v>22</v>
      </c>
      <c r="B31" s="123"/>
      <c r="C31" s="123"/>
      <c r="D31" s="123"/>
      <c r="E31" s="123"/>
      <c r="F31" s="123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121"/>
      <c r="AM32" s="21"/>
      <c r="AN32" s="21"/>
      <c r="AO32" s="21"/>
    </row>
    <row r="33" spans="38:38" x14ac:dyDescent="0.25">
      <c r="AL33" s="121"/>
    </row>
    <row r="34" spans="38:38" x14ac:dyDescent="0.25">
      <c r="AL34" s="121"/>
    </row>
  </sheetData>
  <mergeCells count="39">
    <mergeCell ref="V2:W2"/>
    <mergeCell ref="AK2:AM2"/>
    <mergeCell ref="AF2:AG2"/>
    <mergeCell ref="A19:A21"/>
    <mergeCell ref="B19:B21"/>
    <mergeCell ref="B16:B18"/>
    <mergeCell ref="AH2:AI2"/>
    <mergeCell ref="A22:A24"/>
    <mergeCell ref="B22:B24"/>
    <mergeCell ref="J2:K2"/>
    <mergeCell ref="B3:C3"/>
    <mergeCell ref="D2:E2"/>
    <mergeCell ref="F2:G2"/>
    <mergeCell ref="A7:A9"/>
    <mergeCell ref="B7:B9"/>
    <mergeCell ref="B4:B6"/>
    <mergeCell ref="A4:A6"/>
    <mergeCell ref="H2:I2"/>
    <mergeCell ref="A10:A12"/>
    <mergeCell ref="B10:B12"/>
    <mergeCell ref="A13:A15"/>
    <mergeCell ref="B13:B15"/>
    <mergeCell ref="A16:A18"/>
    <mergeCell ref="A31:F31"/>
    <mergeCell ref="A30:F30"/>
    <mergeCell ref="A29:F29"/>
    <mergeCell ref="B25:B27"/>
    <mergeCell ref="AO2:AO3"/>
    <mergeCell ref="AN2:AN3"/>
    <mergeCell ref="AD2:AE2"/>
    <mergeCell ref="AB2:AC2"/>
    <mergeCell ref="Z2:AA2"/>
    <mergeCell ref="X2:Y2"/>
    <mergeCell ref="T2:U2"/>
    <mergeCell ref="R2:S2"/>
    <mergeCell ref="P2:Q2"/>
    <mergeCell ref="N2:O2"/>
    <mergeCell ref="L2:M2"/>
    <mergeCell ref="A25:A27"/>
  </mergeCells>
  <pageMargins left="0.70000004768371582" right="0.7000000476837158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AIB</dc:creator>
  <cp:keywords/>
  <dc:description/>
  <cp:lastModifiedBy>Уставицкий Андрей Алексеевич</cp:lastModifiedBy>
  <cp:revision/>
  <dcterms:created xsi:type="dcterms:W3CDTF">2006-09-16T00:00:00Z</dcterms:created>
  <dcterms:modified xsi:type="dcterms:W3CDTF">2026-08-04T13:09:12Z</dcterms:modified>
  <cp:category/>
  <cp:contentStatus/>
</cp:coreProperties>
</file>